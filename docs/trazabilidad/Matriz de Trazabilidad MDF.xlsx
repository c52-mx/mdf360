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'Matriz'!$A$1:$N$101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COUNTIF(Matriz!$F$2:$F$101,$A5)</f>
        <v/>
      </c>
      <c r="C5" s="12">
        <f>COUNTIFS(Matriz!$F$2:$F$101,$A5,Matriz!$L$2:$L$101,"Pendiente")</f>
        <v/>
      </c>
      <c r="D5" s="12">
        <f>COUNTIFS(Matriz!$F$2:$F$101,$A5,Matriz!$L$2:$L$101,"En diseño")</f>
        <v/>
      </c>
      <c r="E5" s="12">
        <f>COUNTIFS(Matriz!$F$2:$F$101,$A5,Matriz!$L$2:$L$101,"En desarrollo")</f>
        <v/>
      </c>
      <c r="F5" s="12">
        <f>COUNTIFS(Matriz!$F$2:$F$101,$A5,Matriz!$L$2:$L$101,"En pruebas")</f>
        <v/>
      </c>
      <c r="G5" s="12">
        <f>COUNTIFS(Matriz!$F$2:$F$101,$A5,Matriz!$L$2:$L$101,"Hecho")</f>
        <v/>
      </c>
      <c r="H5" s="12">
        <f>COUNTIFS(Matriz!$F$2:$F$101,$A5,Matriz!$L$2:$L$101,"Bloqueado")</f>
        <v/>
      </c>
      <c r="I5" s="13">
        <f>IF(B5=0,0,G5/B5)</f>
        <v/>
      </c>
    </row>
    <row r="6">
      <c r="A6" s="11" t="inlineStr">
        <is>
          <t>Fase 1</t>
        </is>
      </c>
      <c r="B6" s="12">
        <f>COUNTIF(Matriz!$F$2:$F$101,$A6)</f>
        <v/>
      </c>
      <c r="C6" s="12">
        <f>COUNTIFS(Matriz!$F$2:$F$101,$A6,Matriz!$L$2:$L$101,"Pendiente")</f>
        <v/>
      </c>
      <c r="D6" s="12">
        <f>COUNTIFS(Matriz!$F$2:$F$101,$A6,Matriz!$L$2:$L$101,"En diseño")</f>
        <v/>
      </c>
      <c r="E6" s="12">
        <f>COUNTIFS(Matriz!$F$2:$F$101,$A6,Matriz!$L$2:$L$101,"En desarrollo")</f>
        <v/>
      </c>
      <c r="F6" s="12">
        <f>COUNTIFS(Matriz!$F$2:$F$101,$A6,Matriz!$L$2:$L$101,"En pruebas")</f>
        <v/>
      </c>
      <c r="G6" s="12">
        <f>COUNTIFS(Matriz!$F$2:$F$101,$A6,Matriz!$L$2:$L$101,"Hecho")</f>
        <v/>
      </c>
      <c r="H6" s="12">
        <f>COUNTIFS(Matriz!$F$2:$F$101,$A6,Matriz!$L$2:$L$101,"Bloqueado")</f>
        <v/>
      </c>
      <c r="I6" s="13">
        <f>IF(B6=0,0,G6/B6)</f>
        <v/>
      </c>
    </row>
    <row r="7">
      <c r="A7" s="11" t="inlineStr">
        <is>
          <t>Fase 2</t>
        </is>
      </c>
      <c r="B7" s="12">
        <f>COUNTIF(Matriz!$F$2:$F$101,$A7)</f>
        <v/>
      </c>
      <c r="C7" s="12">
        <f>COUNTIFS(Matriz!$F$2:$F$101,$A7,Matriz!$L$2:$L$101,"Pendiente")</f>
        <v/>
      </c>
      <c r="D7" s="12">
        <f>COUNTIFS(Matriz!$F$2:$F$101,$A7,Matriz!$L$2:$L$101,"En diseño")</f>
        <v/>
      </c>
      <c r="E7" s="12">
        <f>COUNTIFS(Matriz!$F$2:$F$101,$A7,Matriz!$L$2:$L$101,"En desarrollo")</f>
        <v/>
      </c>
      <c r="F7" s="12">
        <f>COUNTIFS(Matriz!$F$2:$F$101,$A7,Matriz!$L$2:$L$101,"En pruebas")</f>
        <v/>
      </c>
      <c r="G7" s="12">
        <f>COUNTIFS(Matriz!$F$2:$F$101,$A7,Matriz!$L$2:$L$101,"Hecho")</f>
        <v/>
      </c>
      <c r="H7" s="12">
        <f>COUNTIFS(Matriz!$F$2:$F$101,$A7,Matriz!$L$2:$L$101,"Bloqueado")</f>
        <v/>
      </c>
      <c r="I7" s="13">
        <f>IF(B7=0,0,G7/B7)</f>
        <v/>
      </c>
    </row>
    <row r="8">
      <c r="A8" s="11" t="inlineStr">
        <is>
          <t>Fase 3</t>
        </is>
      </c>
      <c r="B8" s="12">
        <f>COUNTIF(Matriz!$F$2:$F$101,$A8)</f>
        <v/>
      </c>
      <c r="C8" s="12">
        <f>COUNTIFS(Matriz!$F$2:$F$101,$A8,Matriz!$L$2:$L$101,"Pendiente")</f>
        <v/>
      </c>
      <c r="D8" s="12">
        <f>COUNTIFS(Matriz!$F$2:$F$101,$A8,Matriz!$L$2:$L$101,"En diseño")</f>
        <v/>
      </c>
      <c r="E8" s="12">
        <f>COUNTIFS(Matriz!$F$2:$F$101,$A8,Matriz!$L$2:$L$101,"En desarrollo")</f>
        <v/>
      </c>
      <c r="F8" s="12">
        <f>COUNTIFS(Matriz!$F$2:$F$101,$A8,Matriz!$L$2:$L$101,"En pruebas")</f>
        <v/>
      </c>
      <c r="G8" s="12">
        <f>COUNTIFS(Matriz!$F$2:$F$101,$A8,Matriz!$L$2:$L$101,"Hecho")</f>
        <v/>
      </c>
      <c r="H8" s="12">
        <f>COUNTIFS(Matriz!$F$2:$F$101,$A8,Matriz!$L$2:$L$101,"Bloqueado")</f>
        <v/>
      </c>
      <c r="I8" s="13">
        <f>IF(B8=0,0,G8/B8)</f>
        <v/>
      </c>
    </row>
    <row r="9">
      <c r="A9" s="11" t="inlineStr">
        <is>
          <t>Fase 4</t>
        </is>
      </c>
      <c r="B9" s="12">
        <f>COUNTIF(Matriz!$F$2:$F$101,$A9)</f>
        <v/>
      </c>
      <c r="C9" s="12">
        <f>COUNTIFS(Matriz!$F$2:$F$101,$A9,Matriz!$L$2:$L$101,"Pendiente")</f>
        <v/>
      </c>
      <c r="D9" s="12">
        <f>COUNTIFS(Matriz!$F$2:$F$101,$A9,Matriz!$L$2:$L$101,"En diseño")</f>
        <v/>
      </c>
      <c r="E9" s="12">
        <f>COUNTIFS(Matriz!$F$2:$F$101,$A9,Matriz!$L$2:$L$101,"En desarrollo")</f>
        <v/>
      </c>
      <c r="F9" s="12">
        <f>COUNTIFS(Matriz!$F$2:$F$101,$A9,Matriz!$L$2:$L$101,"En pruebas")</f>
        <v/>
      </c>
      <c r="G9" s="12">
        <f>COUNTIFS(Matriz!$F$2:$F$101,$A9,Matriz!$L$2:$L$101,"Hecho")</f>
        <v/>
      </c>
      <c r="H9" s="12">
        <f>COUNTIFS(Matriz!$F$2:$F$101,$A9,Matriz!$L$2:$L$101,"Bloqueado")</f>
        <v/>
      </c>
      <c r="I9" s="13">
        <f>IF(B9=0,0,G9/B9)</f>
        <v/>
      </c>
    </row>
    <row r="10">
      <c r="A10" s="11" t="inlineStr">
        <is>
          <t>Fase 5</t>
        </is>
      </c>
      <c r="B10" s="12">
        <f>COUNTIF(Matriz!$F$2:$F$101,$A10)</f>
        <v/>
      </c>
      <c r="C10" s="12">
        <f>COUNTIFS(Matriz!$F$2:$F$101,$A10,Matriz!$L$2:$L$101,"Pendiente")</f>
        <v/>
      </c>
      <c r="D10" s="12">
        <f>COUNTIFS(Matriz!$F$2:$F$101,$A10,Matriz!$L$2:$L$101,"En diseño")</f>
        <v/>
      </c>
      <c r="E10" s="12">
        <f>COUNTIFS(Matriz!$F$2:$F$101,$A10,Matriz!$L$2:$L$101,"En desarrollo")</f>
        <v/>
      </c>
      <c r="F10" s="12">
        <f>COUNTIFS(Matriz!$F$2:$F$101,$A10,Matriz!$L$2:$L$101,"En pruebas")</f>
        <v/>
      </c>
      <c r="G10" s="12">
        <f>COUNTIFS(Matriz!$F$2:$F$101,$A10,Matriz!$L$2:$L$101,"Hecho")</f>
        <v/>
      </c>
      <c r="H10" s="12">
        <f>COUNTIFS(Matriz!$F$2:$F$101,$A10,Matriz!$L$2:$L$101,"Bloqueado")</f>
        <v/>
      </c>
      <c r="I10" s="13">
        <f>IF(B10=0,0,G10/B10)</f>
        <v/>
      </c>
    </row>
    <row r="11">
      <c r="A11" s="11" t="inlineStr">
        <is>
          <t>Transversal</t>
        </is>
      </c>
      <c r="B11" s="12">
        <f>COUNTIF(Matriz!$F$2:$F$101,$A11)</f>
        <v/>
      </c>
      <c r="C11" s="12">
        <f>COUNTIFS(Matriz!$F$2:$F$101,$A11,Matriz!$L$2:$L$101,"Pendiente")</f>
        <v/>
      </c>
      <c r="D11" s="12">
        <f>COUNTIFS(Matriz!$F$2:$F$101,$A11,Matriz!$L$2:$L$101,"En diseño")</f>
        <v/>
      </c>
      <c r="E11" s="12">
        <f>COUNTIFS(Matriz!$F$2:$F$101,$A11,Matriz!$L$2:$L$101,"En desarrollo")</f>
        <v/>
      </c>
      <c r="F11" s="12">
        <f>COUNTIFS(Matriz!$F$2:$F$101,$A11,Matriz!$L$2:$L$101,"En pruebas")</f>
        <v/>
      </c>
      <c r="G11" s="12">
        <f>COUNTIFS(Matriz!$F$2:$F$101,$A11,Matriz!$L$2:$L$101,"Hecho")</f>
        <v/>
      </c>
      <c r="H11" s="12">
        <f>COUNTIFS(Matriz!$F$2:$F$101,$A11,Matriz!$L$2:$L$101,"Bloqueado")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COUNTIF(Matriz!$H$2:$H$101,$A16)</f>
        <v/>
      </c>
      <c r="C16" s="12">
        <f>COUNTIFS(Matriz!$H$2:$H$101,$A16,Matriz!$L$2:$L$101,"Pendiente")</f>
        <v/>
      </c>
      <c r="D16" s="12">
        <f>COUNTIFS(Matriz!$H$2:$H$101,$A16,Matriz!$L$2:$L$101,"En diseño")</f>
        <v/>
      </c>
      <c r="E16" s="12">
        <f>COUNTIFS(Matriz!$H$2:$H$101,$A16,Matriz!$L$2:$L$101,"En desarrollo")</f>
        <v/>
      </c>
      <c r="F16" s="12">
        <f>COUNTIFS(Matriz!$H$2:$H$101,$A16,Matriz!$L$2:$L$101,"En pruebas")</f>
        <v/>
      </c>
      <c r="G16" s="12">
        <f>COUNTIFS(Matriz!$H$2:$H$101,$A16,Matriz!$L$2:$L$101,"Hecho")</f>
        <v/>
      </c>
      <c r="H16" s="12">
        <f>COUNTIFS(Matriz!$H$2:$H$101,$A16,Matriz!$L$2:$L$101,"Bloqueado")</f>
        <v/>
      </c>
      <c r="I16" s="13">
        <f>IF(B16=0,0,G16/B16)</f>
        <v/>
      </c>
    </row>
    <row r="17">
      <c r="A17" s="11" t="inlineStr">
        <is>
          <t>H2 · Fase 0 completa</t>
        </is>
      </c>
      <c r="B17" s="12">
        <f>COUNTIF(Matriz!$H$2:$H$101,$A17)</f>
        <v/>
      </c>
      <c r="C17" s="12">
        <f>COUNTIFS(Matriz!$H$2:$H$101,$A17,Matriz!$L$2:$L$101,"Pendiente")</f>
        <v/>
      </c>
      <c r="D17" s="12">
        <f>COUNTIFS(Matriz!$H$2:$H$101,$A17,Matriz!$L$2:$L$101,"En diseño")</f>
        <v/>
      </c>
      <c r="E17" s="12">
        <f>COUNTIFS(Matriz!$H$2:$H$101,$A17,Matriz!$L$2:$L$101,"En desarrollo")</f>
        <v/>
      </c>
      <c r="F17" s="12">
        <f>COUNTIFS(Matriz!$H$2:$H$101,$A17,Matriz!$L$2:$L$101,"En pruebas")</f>
        <v/>
      </c>
      <c r="G17" s="12">
        <f>COUNTIFS(Matriz!$H$2:$H$101,$A17,Matriz!$L$2:$L$101,"Hecho")</f>
        <v/>
      </c>
      <c r="H17" s="12">
        <f>COUNTIFS(Matriz!$H$2:$H$101,$A17,Matriz!$L$2:$L$101,"Bloqueado")</f>
        <v/>
      </c>
      <c r="I17" s="13">
        <f>IF(B17=0,0,G17/B17)</f>
        <v/>
      </c>
    </row>
    <row r="18">
      <c r="A18" s="11" t="inlineStr">
        <is>
          <t>H3 · MVP (Grupos)</t>
        </is>
      </c>
      <c r="B18" s="12">
        <f>COUNTIF(Matriz!$H$2:$H$101,$A18)</f>
        <v/>
      </c>
      <c r="C18" s="12">
        <f>COUNTIFS(Matriz!$H$2:$H$101,$A18,Matriz!$L$2:$L$101,"Pendiente")</f>
        <v/>
      </c>
      <c r="D18" s="12">
        <f>COUNTIFS(Matriz!$H$2:$H$101,$A18,Matriz!$L$2:$L$101,"En diseño")</f>
        <v/>
      </c>
      <c r="E18" s="12">
        <f>COUNTIFS(Matriz!$H$2:$H$101,$A18,Matriz!$L$2:$L$101,"En desarrollo")</f>
        <v/>
      </c>
      <c r="F18" s="12">
        <f>COUNTIFS(Matriz!$H$2:$H$101,$A18,Matriz!$L$2:$L$101,"En pruebas")</f>
        <v/>
      </c>
      <c r="G18" s="12">
        <f>COUNTIFS(Matriz!$H$2:$H$101,$A18,Matriz!$L$2:$L$101,"Hecho")</f>
        <v/>
      </c>
      <c r="H18" s="12">
        <f>COUNTIFS(Matriz!$H$2:$H$101,$A18,Matriz!$L$2:$L$101,"Bloqueado")</f>
        <v/>
      </c>
      <c r="I18" s="13">
        <f>IF(B18=0,0,G18/B18)</f>
        <v/>
      </c>
    </row>
    <row r="19">
      <c r="A19" s="11" t="inlineStr">
        <is>
          <t>Posterior</t>
        </is>
      </c>
      <c r="B19" s="12">
        <f>COUNTIF(Matriz!$H$2:$H$101,$A19)</f>
        <v/>
      </c>
      <c r="C19" s="12">
        <f>COUNTIFS(Matriz!$H$2:$H$101,$A19,Matriz!$L$2:$L$101,"Pendiente")</f>
        <v/>
      </c>
      <c r="D19" s="12">
        <f>COUNTIFS(Matriz!$H$2:$H$101,$A19,Matriz!$L$2:$L$101,"En diseño")</f>
        <v/>
      </c>
      <c r="E19" s="12">
        <f>COUNTIFS(Matriz!$H$2:$H$101,$A19,Matriz!$L$2:$L$101,"En desarrollo")</f>
        <v/>
      </c>
      <c r="F19" s="12">
        <f>COUNTIFS(Matriz!$H$2:$H$101,$A19,Matriz!$L$2:$L$101,"En pruebas")</f>
        <v/>
      </c>
      <c r="G19" s="12">
        <f>COUNTIFS(Matriz!$H$2:$H$101,$A19,Matriz!$L$2:$L$101,"Hecho")</f>
        <v/>
      </c>
      <c r="H19" s="12">
        <f>COUNTIFS(Matriz!$H$2:$H$101,$A19,Matriz!$L$2:$L$101,"Bloqueado")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COUNTIF(Matriz!$G$2:$G$101,$A24)</f>
        <v/>
      </c>
      <c r="C24" s="12">
        <f>COUNTIFS(Matriz!$G$2:$G$101,$A24,Matriz!$L$2:$L$101,"Pendiente")</f>
        <v/>
      </c>
      <c r="D24" s="12">
        <f>COUNTIFS(Matriz!$G$2:$G$101,$A24,Matriz!$L$2:$L$101,"En diseño")</f>
        <v/>
      </c>
      <c r="E24" s="12">
        <f>COUNTIFS(Matriz!$G$2:$G$101,$A24,Matriz!$L$2:$L$101,"En desarrollo")</f>
        <v/>
      </c>
      <c r="F24" s="12">
        <f>COUNTIFS(Matriz!$G$2:$G$101,$A24,Matriz!$L$2:$L$101,"En pruebas")</f>
        <v/>
      </c>
      <c r="G24" s="12">
        <f>COUNTIFS(Matriz!$G$2:$G$101,$A24,Matriz!$L$2:$L$101,"Hecho")</f>
        <v/>
      </c>
      <c r="H24" s="12">
        <f>COUNTIFS(Matriz!$G$2:$G$101,$A24,Matriz!$L$2:$L$101,"Bloqueado")</f>
        <v/>
      </c>
      <c r="I24" s="13">
        <f>IF(B24=0,0,G24/B24)</f>
        <v/>
      </c>
    </row>
    <row r="25">
      <c r="A25" s="11" t="inlineStr">
        <is>
          <t>Sprint 1</t>
        </is>
      </c>
      <c r="B25" s="12">
        <f>COUNTIF(Matriz!$G$2:$G$101,$A25)</f>
        <v/>
      </c>
      <c r="C25" s="12">
        <f>COUNTIFS(Matriz!$G$2:$G$101,$A25,Matriz!$L$2:$L$101,"Pendiente")</f>
        <v/>
      </c>
      <c r="D25" s="12">
        <f>COUNTIFS(Matriz!$G$2:$G$101,$A25,Matriz!$L$2:$L$101,"En diseño")</f>
        <v/>
      </c>
      <c r="E25" s="12">
        <f>COUNTIFS(Matriz!$G$2:$G$101,$A25,Matriz!$L$2:$L$101,"En desarrollo")</f>
        <v/>
      </c>
      <c r="F25" s="12">
        <f>COUNTIFS(Matriz!$G$2:$G$101,$A25,Matriz!$L$2:$L$101,"En pruebas")</f>
        <v/>
      </c>
      <c r="G25" s="12">
        <f>COUNTIFS(Matriz!$G$2:$G$101,$A25,Matriz!$L$2:$L$101,"Hecho")</f>
        <v/>
      </c>
      <c r="H25" s="12">
        <f>COUNTIFS(Matriz!$G$2:$G$101,$A25,Matriz!$L$2:$L$101,"Bloqueado")</f>
        <v/>
      </c>
      <c r="I25" s="13">
        <f>IF(B25=0,0,G25/B25)</f>
        <v/>
      </c>
    </row>
    <row r="26">
      <c r="A26" s="11" t="inlineStr">
        <is>
          <t>Sprint 2</t>
        </is>
      </c>
      <c r="B26" s="12">
        <f>COUNTIF(Matriz!$G$2:$G$101,$A26)</f>
        <v/>
      </c>
      <c r="C26" s="12">
        <f>COUNTIFS(Matriz!$G$2:$G$101,$A26,Matriz!$L$2:$L$101,"Pendiente")</f>
        <v/>
      </c>
      <c r="D26" s="12">
        <f>COUNTIFS(Matriz!$G$2:$G$101,$A26,Matriz!$L$2:$L$101,"En diseño")</f>
        <v/>
      </c>
      <c r="E26" s="12">
        <f>COUNTIFS(Matriz!$G$2:$G$101,$A26,Matriz!$L$2:$L$101,"En desarrollo")</f>
        <v/>
      </c>
      <c r="F26" s="12">
        <f>COUNTIFS(Matriz!$G$2:$G$101,$A26,Matriz!$L$2:$L$101,"En pruebas")</f>
        <v/>
      </c>
      <c r="G26" s="12">
        <f>COUNTIFS(Matriz!$G$2:$G$101,$A26,Matriz!$L$2:$L$101,"Hecho")</f>
        <v/>
      </c>
      <c r="H26" s="12">
        <f>COUNTIFS(Matriz!$G$2:$G$101,$A26,Matriz!$L$2:$L$101,"Bloqueado")</f>
        <v/>
      </c>
      <c r="I26" s="13">
        <f>IF(B26=0,0,G26/B26)</f>
        <v/>
      </c>
    </row>
    <row r="27">
      <c r="A27" s="11" t="inlineStr">
        <is>
          <t>Sprint 3</t>
        </is>
      </c>
      <c r="B27" s="12">
        <f>COUNTIF(Matriz!$G$2:$G$101,$A27)</f>
        <v/>
      </c>
      <c r="C27" s="12">
        <f>COUNTIFS(Matriz!$G$2:$G$101,$A27,Matriz!$L$2:$L$101,"Pendiente")</f>
        <v/>
      </c>
      <c r="D27" s="12">
        <f>COUNTIFS(Matriz!$G$2:$G$101,$A27,Matriz!$L$2:$L$101,"En diseño")</f>
        <v/>
      </c>
      <c r="E27" s="12">
        <f>COUNTIFS(Matriz!$G$2:$G$101,$A27,Matriz!$L$2:$L$101,"En desarrollo")</f>
        <v/>
      </c>
      <c r="F27" s="12">
        <f>COUNTIFS(Matriz!$G$2:$G$101,$A27,Matriz!$L$2:$L$101,"En pruebas")</f>
        <v/>
      </c>
      <c r="G27" s="12">
        <f>COUNTIFS(Matriz!$G$2:$G$101,$A27,Matriz!$L$2:$L$101,"Hecho")</f>
        <v/>
      </c>
      <c r="H27" s="12">
        <f>COUNTIFS(Matriz!$G$2:$G$101,$A27,Matriz!$L$2:$L$101,"Bloqueado")</f>
        <v/>
      </c>
      <c r="I27" s="13">
        <f>IF(B27=0,0,G27/B27)</f>
        <v/>
      </c>
    </row>
    <row r="28">
      <c r="A28" s="11" t="inlineStr">
        <is>
          <t>Sprint 4</t>
        </is>
      </c>
      <c r="B28" s="12">
        <f>COUNTIF(Matriz!$G$2:$G$101,$A28)</f>
        <v/>
      </c>
      <c r="C28" s="12">
        <f>COUNTIFS(Matriz!$G$2:$G$101,$A28,Matriz!$L$2:$L$101,"Pendiente")</f>
        <v/>
      </c>
      <c r="D28" s="12">
        <f>COUNTIFS(Matriz!$G$2:$G$101,$A28,Matriz!$L$2:$L$101,"En diseño")</f>
        <v/>
      </c>
      <c r="E28" s="12">
        <f>COUNTIFS(Matriz!$G$2:$G$101,$A28,Matriz!$L$2:$L$101,"En desarrollo")</f>
        <v/>
      </c>
      <c r="F28" s="12">
        <f>COUNTIFS(Matriz!$G$2:$G$101,$A28,Matriz!$L$2:$L$101,"En pruebas")</f>
        <v/>
      </c>
      <c r="G28" s="12">
        <f>COUNTIFS(Matriz!$G$2:$G$101,$A28,Matriz!$L$2:$L$101,"Hecho")</f>
        <v/>
      </c>
      <c r="H28" s="12">
        <f>COUNTIFS(Matriz!$G$2:$G$101,$A28,Matriz!$L$2:$L$101,"Bloqueado")</f>
        <v/>
      </c>
      <c r="I28" s="13">
        <f>IF(B28=0,0,G28/B28)</f>
        <v/>
      </c>
    </row>
    <row r="29">
      <c r="A29" s="11" t="inlineStr">
        <is>
          <t>Sprint 5</t>
        </is>
      </c>
      <c r="B29" s="12">
        <f>COUNTIF(Matriz!$G$2:$G$101,$A29)</f>
        <v/>
      </c>
      <c r="C29" s="12">
        <f>COUNTIFS(Matriz!$G$2:$G$101,$A29,Matriz!$L$2:$L$101,"Pendiente")</f>
        <v/>
      </c>
      <c r="D29" s="12">
        <f>COUNTIFS(Matriz!$G$2:$G$101,$A29,Matriz!$L$2:$L$101,"En diseño")</f>
        <v/>
      </c>
      <c r="E29" s="12">
        <f>COUNTIFS(Matriz!$G$2:$G$101,$A29,Matriz!$L$2:$L$101,"En desarrollo")</f>
        <v/>
      </c>
      <c r="F29" s="12">
        <f>COUNTIFS(Matriz!$G$2:$G$101,$A29,Matriz!$L$2:$L$101,"En pruebas")</f>
        <v/>
      </c>
      <c r="G29" s="12">
        <f>COUNTIFS(Matriz!$G$2:$G$101,$A29,Matriz!$L$2:$L$101,"Hecho")</f>
        <v/>
      </c>
      <c r="H29" s="12">
        <f>COUNTIFS(Matriz!$G$2:$G$101,$A29,Matriz!$L$2:$L$101,"Bloqueado")</f>
        <v/>
      </c>
      <c r="I29" s="13">
        <f>IF(B29=0,0,G29/B29)</f>
        <v/>
      </c>
    </row>
    <row r="30">
      <c r="A30" s="11" t="inlineStr">
        <is>
          <t>—</t>
        </is>
      </c>
      <c r="B30" s="12">
        <f>COUNTIF(Matriz!$G$2:$G$101,$A30)</f>
        <v/>
      </c>
      <c r="C30" s="12">
        <f>COUNTIFS(Matriz!$G$2:$G$101,$A30,Matriz!$L$2:$L$101,"Pendiente")</f>
        <v/>
      </c>
      <c r="D30" s="12">
        <f>COUNTIFS(Matriz!$G$2:$G$101,$A30,Matriz!$L$2:$L$101,"En diseño")</f>
        <v/>
      </c>
      <c r="E30" s="12">
        <f>COUNTIFS(Matriz!$G$2:$G$101,$A30,Matriz!$L$2:$L$101,"En desarrollo")</f>
        <v/>
      </c>
      <c r="F30" s="12">
        <f>COUNTIFS(Matriz!$G$2:$G$101,$A30,Matriz!$L$2:$L$101,"En pruebas")</f>
        <v/>
      </c>
      <c r="G30" s="12">
        <f>COUNTIFS(Matriz!$G$2:$G$101,$A30,Matriz!$L$2:$L$101,"Hecho")</f>
        <v/>
      </c>
      <c r="H30" s="12">
        <f>COUNTIFS(Matriz!$G$2:$G$101,$A30,Matriz!$L$2:$L$101,"Bloqueado")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COUNTIF(Matriz!$K$2:$K$101,A35)</f>
        <v/>
      </c>
    </row>
    <row r="36">
      <c r="A36" s="11" t="inlineStr">
        <is>
          <t>Aprobado</t>
        </is>
      </c>
      <c r="B36" s="12">
        <f>COUNTIF(Matriz!$K$2:$K$101,A36)</f>
        <v/>
      </c>
    </row>
    <row r="37">
      <c r="A37" s="11" t="inlineStr">
        <is>
          <t>Por definir</t>
        </is>
      </c>
      <c r="B37" s="12">
        <f>COUNTIF(Matriz!$K$2:$K$101,A37)</f>
        <v/>
      </c>
    </row>
    <row r="38">
      <c r="A38" s="11" t="inlineStr">
        <is>
          <t>Rechazado</t>
        </is>
      </c>
      <c r="B38" s="12">
        <f>COUNTIF(Matriz!$K$2:$K$101,A38)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feature/paso-6-roles-permisos · pruebas de backend y 97 de frontend pasan; lint, estilos y compilación limpios</t>
        </is>
      </c>
      <c r="N16" s="19" t="inlineStr">
        <is>
          <t>2026-10-29 · Roles base más la Secretaria; asignación con jerarquía (nadie otorga un rol más alto que el suyo, solo el Super Usuario asigna Super Usuario); baja y traslado solo por un superior.</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En pruebas</t>
        </is>
      </c>
      <c r="M19" s="19" t="inlineStr">
        <is>
          <t>Rama feature/paso-5-invitaciones · pruebas de backend y 93 de frontend pasan; lint, estilos y compilación limpios</t>
        </is>
      </c>
      <c r="N19" s="19" t="inlineStr">
        <is>
          <t>2026-10-27 · Rol por defecto Miembro / Asistente al invitar; invitación por enlace o QR con aprobación del líder (sala de espera) y asignación manual desde la ficha de la persona, con notificaciones.</t>
        </is>
      </c>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M1-24</t>
        </is>
      </c>
      <c r="B31" s="19" t="inlineStr">
        <is>
          <t>M1 Identidad y comunicación</t>
        </is>
      </c>
      <c r="C31" s="19" t="inlineStr">
        <is>
          <t>Administrador de roles y permisos: se crean roles y, por módulo, pantalla y acción, se elige lo que cada uno puede hacer. El Super Usuario, el Pastor y la Secretaria lo administran; nadie está por encima del Super Usuario y solo él asigna ese rol. Nadie concede un permiso que no tiene ni crea o cambia un rol de su nivel o superior. Un rol en uso no se desactiva y todo cambio queda en bitácora.</t>
        </is>
      </c>
      <c r="D31" s="21" t="inlineStr">
        <is>
          <t>Respuesta v3.19</t>
        </is>
      </c>
      <c r="E31" s="19" t="inlineStr">
        <is>
          <t>MVP</t>
        </is>
      </c>
      <c r="F31" s="19" t="inlineStr">
        <is>
          <t>Fase 0</t>
        </is>
      </c>
      <c r="G31" s="19" t="inlineStr">
        <is>
          <t>Sprint 5</t>
        </is>
      </c>
      <c r="H31" s="19" t="inlineStr">
        <is>
          <t>H2 · Fase 0 completa</t>
        </is>
      </c>
      <c r="I31" s="19" t="inlineStr">
        <is>
          <t>Como administrador quiero crear roles y elegir, por módulo, pantalla y acción, lo que puede hacer cada uno, para que los permisos no se hagan bolas.</t>
        </is>
      </c>
      <c r="J31" s="19" t="inlineStr">
        <is>
          <t>Crear un rol con permisos, no poder conceder los que no se tienen ni editar un rol de nivel igual o superior, y ver en la bitácora quién cambió qué.</t>
        </is>
      </c>
      <c r="K31" s="19" t="inlineStr">
        <is>
          <t>VoBo pendiente</t>
        </is>
      </c>
      <c r="L31" s="19" t="inlineStr">
        <is>
          <t>En pruebas</t>
        </is>
      </c>
      <c r="M31" s="19" t="inlineStr">
        <is>
          <t>Rama feature/paso-6-roles-permisos · pruebas de backend y 97 de frontend pasan; lint, estilos y compilación limpios</t>
        </is>
      </c>
      <c r="N31" s="19" t="inlineStr">
        <is>
          <t>2026-10-29 · Catálogo de permisos, pantalla de roles con matriz, duplicado y desactivación, rol Secretaria y vista de lo que puede hacer cada persona. Falta: roles de unidad con alcance (siguiente entrega).</t>
        </is>
      </c>
    </row>
    <row r="32">
      <c r="A32" s="18" t="inlineStr">
        <is>
          <t>M1-25</t>
        </is>
      </c>
      <c r="B32" s="19" t="inlineStr">
        <is>
          <t>M1 Identidad y comunicación</t>
        </is>
      </c>
      <c r="C32" s="19" t="inlineStr">
        <is>
          <t>Unidades: áreas de servicio de la iglesia (cafetería, librería, niños, danza, etc.), cada una con encargado, respaldo y servidores. Quien participa en una unidad ve solo esa unidad, y su rol vale únicamente dentro de ella, independiente de sus roles en grupos u otras unidades. Cada unidad tiene su propio tablero de avisos.</t>
        </is>
      </c>
      <c r="D32" s="21" t="inlineStr">
        <is>
          <t>Respuesta v3.20</t>
        </is>
      </c>
      <c r="E32" s="19" t="inlineStr">
        <is>
          <t>MVP</t>
        </is>
      </c>
      <c r="F32" s="19" t="inlineStr">
        <is>
          <t>Fase 0</t>
        </is>
      </c>
      <c r="G32" s="19" t="inlineStr">
        <is>
          <t>Sprint 5</t>
        </is>
      </c>
      <c r="H32" s="19" t="inlineStr">
        <is>
          <t>H2 · Fase 0 completa</t>
        </is>
      </c>
      <c r="I32" s="19" t="inlineStr">
        <is>
          <t>Como encargado de una unidad quiero administrar a mi gente y mis avisos sin ver lo de otras unidades ni grupos.</t>
        </is>
      </c>
      <c r="J32" s="19" t="inlineStr">
        <is>
          <t>Un encargado de la cafetería no ve la librería; el mismo encargado como asistente de un grupo no gestiona ese grupo; un servidor no agrega integrantes.</t>
        </is>
      </c>
      <c r="K32" s="19" t="inlineStr">
        <is>
          <t>VoBo pendiente</t>
        </is>
      </c>
      <c r="L32" s="19" t="inlineStr">
        <is>
          <t>En pruebas</t>
        </is>
      </c>
      <c r="M32" s="19" t="inlineStr">
        <is>
          <t>Rama feature/paso-7-unidades-avisos · pruebas de backend y 103 de frontend pasan; lint, estilos y compilación limpios</t>
        </is>
      </c>
      <c r="N32" s="19" t="inlineStr">
        <is>
          <t>2026-10-29 · Unidades con encargado, respaldo y servidores, alcance propio por unidad y tablero de avisos. Los roles de unidad son fijos; falta moverlos a la matriz de permisos.</t>
        </is>
      </c>
    </row>
    <row r="33">
      <c r="A33" s="18" t="inlineStr">
        <is>
          <t>M2A-01</t>
        </is>
      </c>
      <c r="B33" s="19" t="inlineStr">
        <is>
          <t>M2A Cursos de Vida</t>
        </is>
      </c>
      <c r="C33" s="19" t="inlineStr">
        <is>
          <t>Catálogo dinámico de cursos; se pueden crear nuevos sin intervención técnica. Incluye «Resolución de Varones» y «Toma de Buenas Decisiones», omitidos en v2.</t>
        </is>
      </c>
      <c r="D33" s="22" t="inlineStr">
        <is>
          <t>Recuperado v1</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M2A-02</t>
        </is>
      </c>
      <c r="B34" s="19" t="inlineStr">
        <is>
          <t>M2A Cursos de Vida</t>
        </is>
      </c>
      <c r="C34" s="19" t="inlineStr">
        <is>
          <t>Flexibilidad operativa: sin día ni horario fijo; el día y el ponente pueden cambiar entre ediciones.</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M2A-03</t>
        </is>
      </c>
      <c r="B35" s="19" t="inlineStr">
        <is>
          <t>M2A Cursos de Vida</t>
        </is>
      </c>
      <c r="C35" s="19" t="inlineStr">
        <is>
          <t>Reposición de clases: el inscrito puede reponer en otro grupo o con otro ponente, a decisión de quien imparte.</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M2A-04</t>
        </is>
      </c>
      <c r="B36" s="19" t="inlineStr">
        <is>
          <t>M2A Cursos de Vida</t>
        </is>
      </c>
      <c r="C36" s="19" t="inlineStr">
        <is>
          <t>Registro de asistencia por sesión.</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M2A-05</t>
        </is>
      </c>
      <c r="B37" s="19" t="inlineStr">
        <is>
          <t>M2A Cursos de Vida</t>
        </is>
      </c>
      <c r="C37" s="19" t="inlineStr">
        <is>
          <t>Seguimiento de tareas o actividades opcionales (no sumativas).</t>
        </is>
      </c>
      <c r="D37" s="19" t="inlineStr">
        <is>
          <t>v1 / v2</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VoBo pendiente</t>
        </is>
      </c>
      <c r="L37" s="19" t="inlineStr">
        <is>
          <t>Pendiente</t>
        </is>
      </c>
      <c r="M37" s="19" t="inlineStr"/>
      <c r="N37" s="19" t="inlineStr"/>
    </row>
    <row r="38">
      <c r="A38" s="18" t="inlineStr">
        <is>
          <t>M2A-06</t>
        </is>
      </c>
      <c r="B38" s="19" t="inlineStr">
        <is>
          <t>M2A Cursos de Vida</t>
        </is>
      </c>
      <c r="C38" s="19" t="inlineStr">
        <is>
          <t>Inscripción: quién se inscribe, cuándo lo hizo, si tiene adeudo y qué incluye el costo (materiales, hospedaje, etc.).</t>
        </is>
      </c>
      <c r="D38" s="19" t="inlineStr">
        <is>
          <t>v1 / v2</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M2A-07</t>
        </is>
      </c>
      <c r="B39" s="19" t="inlineStr">
        <is>
          <t>M2A Cursos de Vida</t>
        </is>
      </c>
      <c r="C39" s="19" t="inlineStr">
        <is>
          <t>Registro de pagos, saldo de adeudos y recibo. Por definir: captura manual vs. pasarela de pago, y si se requiere corte de caja.</t>
        </is>
      </c>
      <c r="D39" s="21" t="inlineStr">
        <is>
          <t>Nuevo v3</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Por definir</t>
        </is>
      </c>
      <c r="L39" s="19" t="inlineStr">
        <is>
          <t>Pendiente</t>
        </is>
      </c>
      <c r="M39" s="19" t="inlineStr"/>
      <c r="N39" s="19" t="inlineStr"/>
    </row>
    <row r="40">
      <c r="A40" s="18" t="inlineStr">
        <is>
          <t>M2A-08</t>
        </is>
      </c>
      <c r="B40" s="19" t="inlineStr">
        <is>
          <t>M2A Cursos de Vida</t>
        </is>
      </c>
      <c r="C40" s="19" t="inlineStr">
        <is>
          <t>Tablero del curso tipo mensajería para avisos antes del curso y días posteriores, con notificación a los inscritos.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M2A-09</t>
        </is>
      </c>
      <c r="B41" s="19" t="inlineStr">
        <is>
          <t>M2A Cursos de Vida</t>
        </is>
      </c>
      <c r="C41" s="19" t="inlineStr">
        <is>
          <t>Evaluación docente configurable: formulario diseñable (tipo Google Forms) aplicado al finalizar el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M2A-10</t>
        </is>
      </c>
      <c r="B42" s="19" t="inlineStr">
        <is>
          <t>M2A Cursos de Vida</t>
        </is>
      </c>
      <c r="C42" s="19" t="inlineStr">
        <is>
          <t>Evolución del ponente: historial de evaluaciones por ponente a lo largo del tiempo y entre ediciones.</t>
        </is>
      </c>
      <c r="D42" s="22" t="inlineStr">
        <is>
          <t>Recuperado v1</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M2A-11</t>
        </is>
      </c>
      <c r="B43" s="19" t="inlineStr">
        <is>
          <t>M2A Cursos de Vida</t>
        </is>
      </c>
      <c r="C43" s="19" t="inlineStr">
        <is>
          <t>Reconocimiento de participación (diploma) opcional por curso.</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M2B-01</t>
        </is>
      </c>
      <c r="B44" s="19" t="inlineStr">
        <is>
          <t>M2B Cursos escolarizados</t>
        </is>
      </c>
      <c r="C44" s="19" t="inlineStr">
        <is>
          <t>Control riguroso de asistencia.</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M2B-02</t>
        </is>
      </c>
      <c r="B45" s="19" t="inlineStr">
        <is>
          <t>M2B Cursos escolarizados</t>
        </is>
      </c>
      <c r="C45" s="19" t="inlineStr">
        <is>
          <t>Entrega de tareas y trabajos continuos (incluidos trabajos extra).</t>
        </is>
      </c>
      <c r="D45" s="19" t="inlineStr">
        <is>
          <t>v1 / 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M2B-03</t>
        </is>
      </c>
      <c r="B46" s="19" t="inlineStr">
        <is>
          <t>M2B Cursos escolarizados</t>
        </is>
      </c>
      <c r="C46" s="19" t="inlineStr">
        <is>
          <t>Ponderación de calificaciones y exámenes finales.</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VoBo pendiente</t>
        </is>
      </c>
      <c r="L46" s="19" t="inlineStr">
        <is>
          <t>Pendiente</t>
        </is>
      </c>
      <c r="M46" s="19" t="inlineStr"/>
      <c r="N46" s="19" t="inlineStr"/>
    </row>
    <row r="47">
      <c r="A47" s="18" t="inlineStr">
        <is>
          <t>M2B-04</t>
        </is>
      </c>
      <c r="B47" s="19" t="inlineStr">
        <is>
          <t>M2B Cursos escolarizados</t>
        </is>
      </c>
      <c r="C47" s="19" t="inlineStr">
        <is>
          <t>Creador de exámenes en línea: opción múltiple, preguntas abiertas, falso/verdadero y respuesta corta.</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M2B-05</t>
        </is>
      </c>
      <c r="B48" s="19" t="inlineStr">
        <is>
          <t>M2B Cursos escolarizados</t>
        </is>
      </c>
      <c r="C48" s="19" t="inlineStr">
        <is>
          <t>Boleta digital con el formato definido por la iglesia. Por definir: formato oficial de la boleta.</t>
        </is>
      </c>
      <c r="D48" s="19" t="inlineStr">
        <is>
          <t>v1 / v2</t>
        </is>
      </c>
      <c r="E48" s="19" t="inlineStr">
        <is>
          <t>Fuera del MVP</t>
        </is>
      </c>
      <c r="F48" s="19" t="inlineStr">
        <is>
          <t>Fase 3</t>
        </is>
      </c>
      <c r="G48" s="19" t="inlineStr">
        <is>
          <t>—</t>
        </is>
      </c>
      <c r="H48" s="19" t="inlineStr">
        <is>
          <t>Posterior</t>
        </is>
      </c>
      <c r="I48" s="20" t="inlineStr">
        <is>
          <t>Se define al iniciar la fase.</t>
        </is>
      </c>
      <c r="J48" s="20" t="inlineStr">
        <is>
          <t>Se define al iniciar la fase.</t>
        </is>
      </c>
      <c r="K48" s="19" t="inlineStr">
        <is>
          <t>Por definir</t>
        </is>
      </c>
      <c r="L48" s="19" t="inlineStr">
        <is>
          <t>Pendiente</t>
        </is>
      </c>
      <c r="M48" s="19" t="inlineStr"/>
      <c r="N48" s="19" t="inlineStr"/>
    </row>
    <row r="49">
      <c r="A49" s="18" t="inlineStr">
        <is>
          <t>M2B-06</t>
        </is>
      </c>
      <c r="B49" s="19" t="inlineStr">
        <is>
          <t>M2B Cursos escolarizados</t>
        </is>
      </c>
      <c r="C49" s="19" t="inlineStr">
        <is>
          <t>Historial académico permanente en el Expediente Digital, aunque cambie el maestro o el alumno pierda su comprobante.</t>
        </is>
      </c>
      <c r="D49" s="19" t="inlineStr">
        <is>
          <t>v2</t>
        </is>
      </c>
      <c r="E49" s="19" t="inlineStr">
        <is>
          <t>Fuera del MVP</t>
        </is>
      </c>
      <c r="F49" s="19" t="inlineStr">
        <is>
          <t>Fase 3</t>
        </is>
      </c>
      <c r="G49" s="19" t="inlineStr">
        <is>
          <t>—</t>
        </is>
      </c>
      <c r="H49" s="19" t="inlineStr">
        <is>
          <t>Posterior</t>
        </is>
      </c>
      <c r="I49" s="20" t="inlineStr">
        <is>
          <t>Se define al iniciar la fase.</t>
        </is>
      </c>
      <c r="J49" s="20" t="inlineStr">
        <is>
          <t>Se define al iniciar la fase.</t>
        </is>
      </c>
      <c r="K49" s="19" t="inlineStr">
        <is>
          <t>VoBo pendiente</t>
        </is>
      </c>
      <c r="L49" s="19" t="inlineStr">
        <is>
          <t>Pendiente</t>
        </is>
      </c>
      <c r="M49" s="19" t="inlineStr"/>
      <c r="N49" s="19" t="inlineStr"/>
    </row>
    <row r="50">
      <c r="A50" s="18" t="inlineStr">
        <is>
          <t>M3-01</t>
        </is>
      </c>
      <c r="B50" s="19" t="inlineStr">
        <is>
          <t>M3 Grupos de Conexión</t>
        </is>
      </c>
      <c r="C50" s="19" t="inlineStr">
        <is>
          <t>Estructura del grupo con roles: Supervisor (supervisa uno o varios grupos y reporta al Pastor), Líder, Secretario, Anfitrión y Tesorero.</t>
        </is>
      </c>
      <c r="D50" s="19" t="inlineStr">
        <is>
          <t>v3 + Obs. 4</t>
        </is>
      </c>
      <c r="E50" s="19" t="inlineStr">
        <is>
          <t>MVP</t>
        </is>
      </c>
      <c r="F50" s="19" t="inlineStr">
        <is>
          <t>Fase 1</t>
        </is>
      </c>
      <c r="G50" s="19" t="inlineStr">
        <is>
          <t>Sprint 3</t>
        </is>
      </c>
      <c r="H50" s="19" t="inlineStr">
        <is>
          <t>H3 · MVP (Grupos)</t>
        </is>
      </c>
      <c r="I50" s="19" t="inlineStr">
        <is>
          <t>Como supervisor quiero asignar Líder, Secretario, Anfitrión y Tesorero a cada grupo.</t>
        </is>
      </c>
      <c r="J50" s="19" t="inlineStr">
        <is>
          <t>Un grupo tiene sus roles asignados; un supervisor ve varios grupos.</t>
        </is>
      </c>
      <c r="K50" s="19" t="inlineStr">
        <is>
          <t>VoBo pendiente</t>
        </is>
      </c>
      <c r="L50" s="19" t="inlineStr">
        <is>
          <t>En pruebas</t>
        </is>
      </c>
      <c r="M50" s="19" t="inlineStr">
        <is>
          <t>Rama feature/grupos-paso-3 · pruebas de backend y 81 de frontend pasan; lint, estilos y compilación limpios</t>
        </is>
      </c>
      <c r="N50" s="19" t="inlineStr">
        <is>
          <t>2026-10-27 · Supervisor, Líder, Secretario, Anfitrión, Tesorero y Asistente por grupo; ahora con cambio de rol, sector (letra), casa (número) y suspensión con motivo.</t>
        </is>
      </c>
    </row>
    <row r="51">
      <c r="A51" s="18" t="inlineStr">
        <is>
          <t>M3-02</t>
        </is>
      </c>
      <c r="B51" s="19" t="inlineStr">
        <is>
          <t>M3 Grupos de Conexión</t>
        </is>
      </c>
      <c r="C51"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51" s="19" t="inlineStr">
        <is>
          <t>v1 / v2 + Respuesta</t>
        </is>
      </c>
      <c r="E51" s="19" t="inlineStr">
        <is>
          <t>MVP</t>
        </is>
      </c>
      <c r="F51" s="19" t="inlineStr">
        <is>
          <t>Fase 1</t>
        </is>
      </c>
      <c r="G51" s="19" t="inlineStr">
        <is>
          <t>Sprint 3</t>
        </is>
      </c>
      <c r="H51" s="19" t="inlineStr">
        <is>
          <t>H3 · MVP (Grupos)</t>
        </is>
      </c>
      <c r="I51" s="19" t="inlineStr">
        <is>
          <t>Como líder quiero recibir el estudio semanal en la app en lugar de WhatsApp.</t>
        </is>
      </c>
      <c r="J51" s="19" t="inlineStr">
        <is>
          <t>Publicar el material de la semana; el líder lo abre y queda marca de lectura.</t>
        </is>
      </c>
      <c r="K51" s="19" t="inlineStr">
        <is>
          <t>VoBo pendiente</t>
        </is>
      </c>
      <c r="L51" s="19" t="inlineStr">
        <is>
          <t>En pruebas</t>
        </is>
      </c>
      <c r="M51" s="19" t="inlineStr">
        <is>
          <t>Rama feature/m3-grupos · 88 pruebas de backend y 7 de frontend pasan</t>
        </is>
      </c>
      <c r="N51" s="19" t="inlineStr">
        <is>
          <t>2026-10-24 · PDF adultos, PDF niños y audio por semana; audio con Range para iPhone. Pendiente probar en iOS.</t>
        </is>
      </c>
    </row>
    <row r="52">
      <c r="A52" s="18" t="inlineStr">
        <is>
          <t>M3-03</t>
        </is>
      </c>
      <c r="B52" s="19" t="inlineStr">
        <is>
          <t>M3 Grupos de Conexión</t>
        </is>
      </c>
      <c r="C52"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2" s="19" t="inlineStr">
        <is>
          <t>v3</t>
        </is>
      </c>
      <c r="E52" s="19" t="inlineStr">
        <is>
          <t>MVP</t>
        </is>
      </c>
      <c r="F52" s="19" t="inlineStr">
        <is>
          <t>Fase 1</t>
        </is>
      </c>
      <c r="G52" s="19" t="inlineStr">
        <is>
          <t>Sprint 3</t>
        </is>
      </c>
      <c r="H52" s="19" t="inlineStr">
        <is>
          <t>H3 · MVP (Grupos)</t>
        </is>
      </c>
      <c r="I52" s="19" t="inlineStr">
        <is>
          <t>Como secretario quiero pasar lista aunque no haya señal.</t>
        </is>
      </c>
      <c r="J52" s="19" t="inlineStr">
        <is>
          <t>Pasar lista en modo avión; al reconectar se sincroniza sin duplicados.</t>
        </is>
      </c>
      <c r="K52" s="19" t="inlineStr">
        <is>
          <t>VoBo pendiente</t>
        </is>
      </c>
      <c r="L52" s="19" t="inlineStr">
        <is>
          <t>En pruebas</t>
        </is>
      </c>
      <c r="M52" s="19" t="inlineStr">
        <is>
          <t>Rama feature/nf-06-sin-conexion · 117 pruebas de backend y 27 de frontend; probado en Chrome real con service worker</t>
        </is>
      </c>
      <c r="N52" s="19" t="inlineStr">
        <is>
          <t>2026-10-24 · Pase de lista con y sin conexión.</t>
        </is>
      </c>
    </row>
    <row r="53">
      <c r="A53" s="18" t="inlineStr">
        <is>
          <t>M3-04</t>
        </is>
      </c>
      <c r="B53" s="19" t="inlineStr">
        <is>
          <t>M3 Grupos de Conexión</t>
        </is>
      </c>
      <c r="C53"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3" s="19" t="inlineStr">
        <is>
          <t>v3 + Obs. 4</t>
        </is>
      </c>
      <c r="E53" s="19" t="inlineStr">
        <is>
          <t>MVP</t>
        </is>
      </c>
      <c r="F53" s="19" t="inlineStr">
        <is>
          <t>Fase 1</t>
        </is>
      </c>
      <c r="G53" s="19" t="inlineStr">
        <is>
          <t>Sprint 4</t>
        </is>
      </c>
      <c r="H53" s="19" t="inlineStr">
        <is>
          <t>H3 · MVP (Grupos)</t>
        </is>
      </c>
      <c r="I53" s="19" t="inlineStr">
        <is>
          <t>Como tesorero quiero contar y avalar la ofrenda del grupo.</t>
        </is>
      </c>
      <c r="J53" s="19" t="inlineStr">
        <is>
          <t>Capturar monto; el Tesorero captura su cifra y confirma con su PIN; si difiere se registra la diferencia; con aval no se edita sin motivo.</t>
        </is>
      </c>
      <c r="K53" s="19" t="inlineStr">
        <is>
          <t>VoBo pendiente</t>
        </is>
      </c>
      <c r="L53" s="19" t="inlineStr">
        <is>
          <t>En pruebas</t>
        </is>
      </c>
      <c r="M53" s="19" t="inlineStr">
        <is>
          <t>Rama feature/m3-ofrendas-ajustes · 121 pruebas de backend y 14 de frontend pasan</t>
        </is>
      </c>
      <c r="N53" s="19" t="inlineStr">
        <is>
          <t>2026-10-24 · Con suplencias del Líder, diferencias visibles y límites configurables. Falta validar con la iglesia.</t>
        </is>
      </c>
    </row>
    <row r="54">
      <c r="A54" s="18" t="inlineStr">
        <is>
          <t>M3-05</t>
        </is>
      </c>
      <c r="B54" s="19" t="inlineStr">
        <is>
          <t>M3 Grupos de Conexión</t>
        </is>
      </c>
      <c r="C54"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4" s="19" t="inlineStr">
        <is>
          <t>v3</t>
        </is>
      </c>
      <c r="E54" s="19" t="inlineStr">
        <is>
          <t>MVP</t>
        </is>
      </c>
      <c r="F54" s="19" t="inlineStr">
        <is>
          <t>Fase 1</t>
        </is>
      </c>
      <c r="G54" s="19" t="inlineStr">
        <is>
          <t>Sprint 4</t>
        </is>
      </c>
      <c r="H54" s="19" t="inlineStr">
        <is>
          <t>H3 · MVP (Grupos)</t>
        </is>
      </c>
      <c r="I54" s="19" t="inlineStr">
        <is>
          <t>Como líder quiero recoger peticiones de oración con un formulario configurable.</t>
        </is>
      </c>
      <c r="J54" s="19" t="inlineStr">
        <is>
          <t>Capturar una petición; el formulario se edita sin código.</t>
        </is>
      </c>
      <c r="K54" s="19" t="inlineStr">
        <is>
          <t>VoBo pendiente</t>
        </is>
      </c>
      <c r="L54" s="19" t="inlineStr">
        <is>
          <t>En pruebas</t>
        </is>
      </c>
      <c r="M54" s="19" t="inlineStr">
        <is>
          <t>Rama feature/m3-peticiones-oracion · 166 pruebas de backend y 32 de frontend pasan; probado contra la base real</t>
        </is>
      </c>
      <c r="N54" s="19" t="inlineStr">
        <is>
          <t>2026-10-24 · Formulario configurable y versionado; captura desde la reunión y el grupo.</t>
        </is>
      </c>
    </row>
    <row r="55">
      <c r="A55" s="18" t="inlineStr">
        <is>
          <t>M3-06</t>
        </is>
      </c>
      <c r="B55" s="19" t="inlineStr">
        <is>
          <t>M3 Grupos de Conexión</t>
        </is>
      </c>
      <c r="C55"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5" s="21" t="inlineStr">
        <is>
          <t>Resp. P8 + Respuesta</t>
        </is>
      </c>
      <c r="E55" s="19" t="inlineStr">
        <is>
          <t>MVP</t>
        </is>
      </c>
      <c r="F55" s="19" t="inlineStr">
        <is>
          <t>Fase 1</t>
        </is>
      </c>
      <c r="G55" s="19" t="inlineStr">
        <is>
          <t>Sprint 4</t>
        </is>
      </c>
      <c r="H55" s="19" t="inlineStr">
        <is>
          <t>H3 · MVP (Grupos)</t>
        </is>
      </c>
      <c r="I55" s="19" t="inlineStr">
        <is>
          <t>Como pastor quiero que las peticiones solo las vea el Líder y superiores y se borren al vencer.</t>
        </is>
      </c>
      <c r="J55" s="19" t="inlineStr">
        <is>
          <t>El Secretario no las ve; tras el plazo configurable (por defecto 30 días) se eliminan.</t>
        </is>
      </c>
      <c r="K55" s="19" t="inlineStr">
        <is>
          <t>VoBo pendiente</t>
        </is>
      </c>
      <c r="L55" s="19" t="inlineStr">
        <is>
          <t>En pruebas</t>
        </is>
      </c>
      <c r="M55" s="19" t="inlineStr">
        <is>
          <t>Rama feature/m3-peticiones-oracion · 166 pruebas de backend y 32 de frontend pasan; probado contra la base real</t>
        </is>
      </c>
      <c r="N55" s="19" t="inlineStr">
        <is>
          <t>2026-10-24 · Alcance por petición (líderes, grupo, equipo), cifrado y borrado a los 30 días configurable. Cambia la matriz aprobada: actualizar con la iglesia.</t>
        </is>
      </c>
    </row>
    <row r="56">
      <c r="A56" s="18" t="inlineStr">
        <is>
          <t>M3-07</t>
        </is>
      </c>
      <c r="B56" s="19" t="inlineStr">
        <is>
          <t>M3 Grupos de Conexión</t>
        </is>
      </c>
      <c r="C56"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6" s="19" t="inlineStr">
        <is>
          <t>v3</t>
        </is>
      </c>
      <c r="E56" s="19" t="inlineStr">
        <is>
          <t>MVP básico</t>
        </is>
      </c>
      <c r="F56" s="19" t="inlineStr">
        <is>
          <t>Fase 1</t>
        </is>
      </c>
      <c r="G56" s="19" t="inlineStr">
        <is>
          <t>Sprint 5</t>
        </is>
      </c>
      <c r="H56" s="19" t="inlineStr">
        <is>
          <t>H3 · MVP (Grupos)</t>
        </is>
      </c>
      <c r="I56" s="19" t="inlineStr">
        <is>
          <t>Como supervisor quiero ver la salud de mis grupos.</t>
        </is>
      </c>
      <c r="J56" s="19" t="inlineStr">
        <is>
          <t>El dashboard muestra asistencia, ofrendas y crecimiento según permisos.</t>
        </is>
      </c>
      <c r="K56" s="19" t="inlineStr">
        <is>
          <t>VoBo pendiente</t>
        </is>
      </c>
      <c r="L56" s="19" t="inlineStr">
        <is>
          <t>En pruebas</t>
        </is>
      </c>
      <c r="M56" s="19" t="inlineStr">
        <is>
          <t>Rama feature/m3-dashboard-tablero · 195 pruebas de backend y 39 de frontend pasan; probado contra la base real</t>
        </is>
      </c>
      <c r="N56" s="19" t="inlineStr">
        <is>
          <t>2026-10-25 · Dashboard con asistencia, avisos y datos según rol; umbral configurable.</t>
        </is>
      </c>
    </row>
    <row r="57">
      <c r="A57" s="18" t="inlineStr">
        <is>
          <t>M3-08</t>
        </is>
      </c>
      <c r="B57" s="19" t="inlineStr">
        <is>
          <t>M3 Grupos de Conexión</t>
        </is>
      </c>
      <c r="C57" s="19" t="inlineStr">
        <is>
          <t>Ubicación de zona del grupo para que personas cercanas lo encuentren, sin exponer el domicilio exacto. Por definir.</t>
        </is>
      </c>
      <c r="D57" s="19" t="inlineStr">
        <is>
          <t>v3</t>
        </is>
      </c>
      <c r="E57" s="19" t="inlineStr">
        <is>
          <t>Fuera del MVP</t>
        </is>
      </c>
      <c r="F57" s="19" t="inlineStr">
        <is>
          <t>Fase 4</t>
        </is>
      </c>
      <c r="G57" s="19" t="inlineStr">
        <is>
          <t>—</t>
        </is>
      </c>
      <c r="H57" s="19" t="inlineStr">
        <is>
          <t>Posterior</t>
        </is>
      </c>
      <c r="I57" s="20" t="inlineStr">
        <is>
          <t>Se define al iniciar la fase.</t>
        </is>
      </c>
      <c r="J57" s="20" t="inlineStr">
        <is>
          <t>Se define al iniciar la fase.</t>
        </is>
      </c>
      <c r="K57" s="19" t="inlineStr">
        <is>
          <t>Por definir</t>
        </is>
      </c>
      <c r="L57" s="19" t="inlineStr">
        <is>
          <t>Pendiente</t>
        </is>
      </c>
      <c r="M57" s="19" t="inlineStr"/>
      <c r="N57" s="19" t="inlineStr"/>
    </row>
    <row r="58">
      <c r="A58" s="18" t="inlineStr">
        <is>
          <t>M3-09</t>
        </is>
      </c>
      <c r="B58" s="19" t="inlineStr">
        <is>
          <t>M3 Grupos de Conexión</t>
        </is>
      </c>
      <c r="C58" s="19" t="inlineStr">
        <is>
          <t>A un grupo asisten miembros de la iglesia (vecinos o no) e invitados del grupo que no asisten a la iglesia. Los invitados se registran como Contacto con datos mínimos y se les puede invitar a consolidación.</t>
        </is>
      </c>
      <c r="D58" s="21" t="inlineStr">
        <is>
          <t>Corrección v3.2</t>
        </is>
      </c>
      <c r="E58" s="19" t="inlineStr">
        <is>
          <t>MVP</t>
        </is>
      </c>
      <c r="F58" s="19" t="inlineStr">
        <is>
          <t>Fase 1</t>
        </is>
      </c>
      <c r="G58" s="19" t="inlineStr">
        <is>
          <t>Sprint 3</t>
        </is>
      </c>
      <c r="H58" s="19" t="inlineStr">
        <is>
          <t>H3 · MVP (Grupos)</t>
        </is>
      </c>
      <c r="I58" s="19" t="inlineStr">
        <is>
          <t>Como secretario quiero registrar invitados del grupo con datos mínimos.</t>
        </is>
      </c>
      <c r="J58" s="19" t="inlineStr">
        <is>
          <t>Registrar un invitado como Contacto y marcarlo presente.</t>
        </is>
      </c>
      <c r="K58" s="19" t="inlineStr">
        <is>
          <t>VoBo pendiente</t>
        </is>
      </c>
      <c r="L58" s="19" t="inlineStr">
        <is>
          <t>En pruebas</t>
        </is>
      </c>
      <c r="M58" s="19" t="inlineStr">
        <is>
          <t>Rama feature/paso-5-invitaciones · pruebas de backend y 93 de frontend pasan; lint, estilos y compilación limpios</t>
        </is>
      </c>
      <c r="N58" s="19" t="inlineStr">
        <is>
          <t>2026-10-27 · Los invitados entran al grupo como Contacto cuando el líder aprueba su solicitud por enlace o QR.</t>
        </is>
      </c>
    </row>
    <row r="59">
      <c r="A59" s="18" t="inlineStr">
        <is>
          <t>M3-10</t>
        </is>
      </c>
      <c r="B59" s="19" t="inlineStr">
        <is>
          <t>M3 Grupos de Conexión</t>
        </is>
      </c>
      <c r="C59" s="19" t="inlineStr">
        <is>
          <t>Confidencialidad de ofrendas y asistencias: consulta limitada por rol (matriz por definir) y modificación restringida, todo en bitácora.</t>
        </is>
      </c>
      <c r="D59" s="21" t="inlineStr">
        <is>
          <t>Obs. 5</t>
        </is>
      </c>
      <c r="E59" s="19" t="inlineStr">
        <is>
          <t>MVP</t>
        </is>
      </c>
      <c r="F59" s="19" t="inlineStr">
        <is>
          <t>Fase 1</t>
        </is>
      </c>
      <c r="G59" s="19" t="inlineStr">
        <is>
          <t>Sprint 4</t>
        </is>
      </c>
      <c r="H59" s="19" t="inlineStr">
        <is>
          <t>H3 · MVP (Grupos)</t>
        </is>
      </c>
      <c r="I59" s="19" t="inlineStr">
        <is>
          <t>Como pastor quiero que ofrendas y asistencias sean confidenciales.</t>
        </is>
      </c>
      <c r="J59" s="19" t="inlineStr">
        <is>
          <t>La matriz de la sección 3.3 del v3.2 se cumple en pruebas por cada rol.</t>
        </is>
      </c>
      <c r="K59" s="19" t="inlineStr">
        <is>
          <t>Por definir</t>
        </is>
      </c>
      <c r="L59" s="19" t="inlineStr">
        <is>
          <t>Pendiente</t>
        </is>
      </c>
      <c r="M59" s="19" t="inlineStr"/>
      <c r="N59" s="19" t="inlineStr"/>
    </row>
    <row r="60">
      <c r="A60" s="18" t="inlineStr">
        <is>
          <t>M3-11</t>
        </is>
      </c>
      <c r="B60" s="19" t="inlineStr">
        <is>
          <t>M3 Grupos de Conexión</t>
        </is>
      </c>
      <c r="C60"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60" s="21" t="inlineStr">
        <is>
          <t>Obs. 7</t>
        </is>
      </c>
      <c r="E60" s="19" t="inlineStr">
        <is>
          <t>MVP</t>
        </is>
      </c>
      <c r="F60" s="19" t="inlineStr">
        <is>
          <t>Fase 1</t>
        </is>
      </c>
      <c r="G60" s="19" t="inlineStr">
        <is>
          <t>Sprint 5</t>
        </is>
      </c>
      <c r="H60" s="19" t="inlineStr">
        <is>
          <t>H3 · MVP (Grupos)</t>
        </is>
      </c>
      <c r="I60" s="19" t="inlineStr">
        <is>
          <t>Como líder quiero un tablero de mensajes de mi grupo.</t>
        </is>
      </c>
      <c r="J60" s="19" t="inlineStr">
        <is>
          <t>Publicar y leer mensajes del grupo.</t>
        </is>
      </c>
      <c r="K60" s="19" t="inlineStr">
        <is>
          <t>VoBo pendiente</t>
        </is>
      </c>
      <c r="L60" s="19" t="inlineStr">
        <is>
          <t>En pruebas</t>
        </is>
      </c>
      <c r="M60" s="19" t="inlineStr">
        <is>
          <t>Rama feature/m3-dashboard-tablero · 195 pruebas de backend y 39 de frontend pasan; probado contra la base real</t>
        </is>
      </c>
      <c r="N60" s="19" t="inlineStr">
        <is>
          <t>2026-10-25 · Tablero con fijados, no leídos y retención configurable; la notificación push de mensajes nuevos se entrega con M1-09.</t>
        </is>
      </c>
    </row>
    <row r="61">
      <c r="A61" s="18" t="inlineStr">
        <is>
          <t>M3-12</t>
        </is>
      </c>
      <c r="B61" s="19" t="inlineStr">
        <is>
          <t>M3 Grupos de Conexión</t>
        </is>
      </c>
      <c r="C61" s="19" t="inlineStr">
        <is>
          <t>Reuniones: cada grupo se reúne una vez por semana en casa del líder (día y hora por grupo) y existe una reunión general de líderes, modelada como un grupo de tipo «Líderes».</t>
        </is>
      </c>
      <c r="D61" s="21" t="inlineStr">
        <is>
          <t>Respuesta</t>
        </is>
      </c>
      <c r="E61" s="19" t="inlineStr">
        <is>
          <t>MVP</t>
        </is>
      </c>
      <c r="F61" s="19" t="inlineStr">
        <is>
          <t>Fase 1</t>
        </is>
      </c>
      <c r="G61" s="19" t="inlineStr">
        <is>
          <t>Sprint 3</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feature/grupos-paso-3 · pruebas de backend y 81 de frontend pasan; lint, estilos y compilación limpios</t>
        </is>
      </c>
      <c r="N61" s="19" t="inlineStr">
        <is>
          <t>2026-10-27 · Una reunión semanal por grupo y grupo tipo Líderes; filtros por día, sector, líder y estado; cada reunión muestra su asistencia, observaciones, peticiones y ofrendas.</t>
        </is>
      </c>
    </row>
    <row r="62">
      <c r="A62" s="18" t="inlineStr">
        <is>
          <t>M3-13</t>
        </is>
      </c>
      <c r="B62" s="19" t="inlineStr">
        <is>
          <t>M3 Grupos de Conexión</t>
        </is>
      </c>
      <c r="C62" s="19" t="inlineStr">
        <is>
          <t>Parámetros configurables sin programar, con pantalla de Configuración y cada cambio en bitácora: monto máximo por ofrenda (1,000,000 por defecto) y si se permite una sola ofrenda regular por reunión. Solo Pastor y Administrador Técnico.</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feature/m3-ofrendas-ajustes · 121 pruebas de backend y 14 de frontend pasan</t>
        </is>
      </c>
      <c r="N62" s="19" t="inlineStr">
        <is>
          <t>2026-10-24 · Pantalla Configuración: monto máximo y una regular por reunión.</t>
        </is>
      </c>
    </row>
    <row r="63">
      <c r="A63" s="18" t="inlineStr">
        <is>
          <t>M3-14</t>
        </is>
      </c>
      <c r="B63" s="19" t="inlineStr">
        <is>
          <t>M3 Grupos de Conexión</t>
        </is>
      </c>
      <c r="C63"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3" s="21" t="inlineStr">
        <is>
          <t>Respuesta</t>
        </is>
      </c>
      <c r="E63" s="19" t="inlineStr">
        <is>
          <t>MVP</t>
        </is>
      </c>
      <c r="F63" s="19" t="inlineStr">
        <is>
          <t>Fase 1</t>
        </is>
      </c>
      <c r="G63" s="19" t="inlineStr">
        <is>
          <t>Sprint 4</t>
        </is>
      </c>
      <c r="H63" s="19" t="inlineStr">
        <is>
          <t>H3 · MVP (Grupos)</t>
        </is>
      </c>
      <c r="I63" s="20" t="inlineStr">
        <is>
          <t>Se define al iniciar la fase.</t>
        </is>
      </c>
      <c r="J63" s="20" t="inlineStr">
        <is>
          <t>Se define al iniciar la fase.</t>
        </is>
      </c>
      <c r="K63" s="19" t="inlineStr">
        <is>
          <t>VoBo pendiente</t>
        </is>
      </c>
      <c r="L63" s="19" t="inlineStr">
        <is>
          <t>En pruebas</t>
        </is>
      </c>
      <c r="M63" s="19" t="inlineStr">
        <is>
          <t>Rama feature/m3-peticiones-oracion · 166 pruebas de backend y 32 de frontend pasan; probado contra la base real</t>
        </is>
      </c>
      <c r="N63" s="19" t="inlineStr">
        <is>
          <t>2026-10-24 · Origen inmutable y visible; probado con un segundo origen de prueba para verificar la reutilización.</t>
        </is>
      </c>
    </row>
    <row r="64">
      <c r="A64" s="18" t="inlineStr">
        <is>
          <t>M3-15</t>
        </is>
      </c>
      <c r="B64" s="19" t="inlineStr">
        <is>
          <t>M3 Grupos de Conexión</t>
        </is>
      </c>
      <c r="C64"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4" s="21" t="inlineStr">
        <is>
          <t>Respuesta</t>
        </is>
      </c>
      <c r="E64" s="19" t="inlineStr">
        <is>
          <t>MVP</t>
        </is>
      </c>
      <c r="F64" s="19" t="inlineStr">
        <is>
          <t>Fase 1</t>
        </is>
      </c>
      <c r="G64" s="19" t="inlineStr">
        <is>
          <t>Sprint 4</t>
        </is>
      </c>
      <c r="H64" s="19" t="inlineStr">
        <is>
          <t>H3 · MVP (Grupos)</t>
        </is>
      </c>
      <c r="I64" s="20" t="inlineStr">
        <is>
          <t>Se define al iniciar la fase.</t>
        </is>
      </c>
      <c r="J64" s="20" t="inlineStr">
        <is>
          <t>Se define al iniciar la fase.</t>
        </is>
      </c>
      <c r="K64" s="19" t="inlineStr">
        <is>
          <t>VoBo pendiente</t>
        </is>
      </c>
      <c r="L64" s="19" t="inlineStr">
        <is>
          <t>En pruebas</t>
        </is>
      </c>
      <c r="M64" s="19" t="inlineStr">
        <is>
          <t>Rama feature/m3-peticiones-oracion · 166 pruebas de backend y 32 de frontend pasan; probado contra la base real</t>
        </is>
      </c>
      <c r="N64" s="19" t="inlineStr">
        <is>
          <t>2026-10-24 · Rol Equipo de oración, nombre oculto y leyenda de privacidad al capturar. Falta el aviso de privacidad oficial de la iglesia.</t>
        </is>
      </c>
    </row>
    <row r="65">
      <c r="A65" s="18" t="inlineStr">
        <is>
          <t>M4-01</t>
        </is>
      </c>
      <c r="B65" s="19" t="inlineStr">
        <is>
          <t>M4 Kids Check-In/Out</t>
        </is>
      </c>
      <c r="C65" s="19" t="inlineStr">
        <is>
          <t>Sustitución de la ficha física de papel.</t>
        </is>
      </c>
      <c r="D65" s="19" t="inlineStr">
        <is>
          <t>v1 / 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M4-02</t>
        </is>
      </c>
      <c r="B66" s="19" t="inlineStr">
        <is>
          <t>M4 Kids Check-In/Out</t>
        </is>
      </c>
      <c r="C66" s="19" t="inlineStr">
        <is>
          <t>Registro de ingreso del menor con salón o clase asignada y generación de código único.</t>
        </is>
      </c>
      <c r="D66" s="21" t="inlineStr">
        <is>
          <t>v1 + 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M4-03</t>
        </is>
      </c>
      <c r="B67" s="19" t="inlineStr">
        <is>
          <t>M4 Kids Check-In/Out</t>
        </is>
      </c>
      <c r="C67" s="19" t="inlineStr">
        <is>
          <t>Código QR dinámico o OTP temporal en la PWA del padre o tutor.</t>
        </is>
      </c>
      <c r="D67" s="19" t="inlineStr">
        <is>
          <t>v2</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VoBo pendiente</t>
        </is>
      </c>
      <c r="L67" s="19" t="inlineStr">
        <is>
          <t>Pendiente</t>
        </is>
      </c>
      <c r="M67" s="19" t="inlineStr"/>
      <c r="N67" s="19" t="inlineStr"/>
    </row>
    <row r="68">
      <c r="A68" s="18" t="inlineStr">
        <is>
          <t>M4-04</t>
        </is>
      </c>
      <c r="B68" s="19" t="inlineStr">
        <is>
          <t>M4 Kids Check-In/Out</t>
        </is>
      </c>
      <c r="C68" s="19" t="inlineStr">
        <is>
          <t>Validación al entregar: el servidor de Kids escanea el código y confirma identidad y fotografía del tutor autorizado en el Expediente Digital.</t>
        </is>
      </c>
      <c r="D68" s="19" t="inlineStr">
        <is>
          <t>v2</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M4-05</t>
        </is>
      </c>
      <c r="B69" s="19" t="inlineStr">
        <is>
          <t>M4 Kids Check-In/Out</t>
        </is>
      </c>
      <c r="C69" s="19" t="inlineStr">
        <is>
          <t>Alternativa para tutores sin smartphone, sin batería o sin conexión (p. ej. código por SMS o comprobante imprimible con identificación). Por definir.</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Por definir</t>
        </is>
      </c>
      <c r="L69" s="19" t="inlineStr">
        <is>
          <t>Pendiente</t>
        </is>
      </c>
      <c r="M69" s="19" t="inlineStr"/>
      <c r="N69" s="19" t="inlineStr"/>
    </row>
    <row r="70">
      <c r="A70" s="18" t="inlineStr">
        <is>
          <t>M4-06</t>
        </is>
      </c>
      <c r="B70" s="19" t="inlineStr">
        <is>
          <t>M4 Kids Check-In/Out</t>
        </is>
      </c>
      <c r="C70" s="19" t="inlineStr">
        <is>
          <t>Autorización temporal de un tercero para recoger al menor, con aprobación del tutor registrado.</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M4-07</t>
        </is>
      </c>
      <c r="B71" s="19" t="inlineStr">
        <is>
          <t>M4 Kids Check-In/Out</t>
        </is>
      </c>
      <c r="C71" s="19" t="inlineStr">
        <is>
          <t>Caducidad del código y bitácora de cada entrega (quién recogió, quién entregó, hora).</t>
        </is>
      </c>
      <c r="D71" s="21" t="inlineStr">
        <is>
          <t>Nuevo v3</t>
        </is>
      </c>
      <c r="E71" s="19" t="inlineStr">
        <is>
          <t>Fuera del MVP</t>
        </is>
      </c>
      <c r="F71" s="19" t="inlineStr">
        <is>
          <t>Fase 2</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M4-08</t>
        </is>
      </c>
      <c r="B72" s="19" t="inlineStr">
        <is>
          <t>M4 Kids Check-In/Out</t>
        </is>
      </c>
      <c r="C72" s="19" t="inlineStr">
        <is>
          <t>Funcionamiento sin conexión o con conexión degradada para el check-out.</t>
        </is>
      </c>
      <c r="D72" s="21" t="inlineStr">
        <is>
          <t>Nuevo v3</t>
        </is>
      </c>
      <c r="E72" s="19" t="inlineStr">
        <is>
          <t>Fuera del MVP</t>
        </is>
      </c>
      <c r="F72" s="19" t="inlineStr">
        <is>
          <t>Fase 2</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M5-01</t>
        </is>
      </c>
      <c r="B73" s="19" t="inlineStr">
        <is>
          <t>M5 Áreas y servidores</t>
        </is>
      </c>
      <c r="C73" s="19" t="inlineStr">
        <is>
          <t>Catálogo mínimo de áreas y asignación de servidores. Versión reducida del módulo 5, necesaria para permisos por área. Sirve como primer censo.</t>
        </is>
      </c>
      <c r="D73" s="19" t="inlineStr">
        <is>
          <t>v3</t>
        </is>
      </c>
      <c r="E73" s="19" t="inlineStr">
        <is>
          <t>MVP mínimo</t>
        </is>
      </c>
      <c r="F73" s="19" t="inlineStr">
        <is>
          <t>Fase 0</t>
        </is>
      </c>
      <c r="G73" s="19" t="inlineStr">
        <is>
          <t>Sprint 1</t>
        </is>
      </c>
      <c r="H73" s="19" t="inlineStr">
        <is>
          <t>H2 · Fase 0 completa</t>
        </is>
      </c>
      <c r="I73" s="19" t="inlineStr">
        <is>
          <t>Como pastor quiero un catálogo de áreas con su personal para conocer la estructura.</t>
        </is>
      </c>
      <c r="J73" s="19" t="inlineStr">
        <is>
          <t>Crear un área, asignar servidores y ver el conteo real.</t>
        </is>
      </c>
      <c r="K73" s="19" t="inlineStr">
        <is>
          <t>VoBo pendiente</t>
        </is>
      </c>
      <c r="L73" s="19" t="inlineStr">
        <is>
          <t>Pendiente</t>
        </is>
      </c>
      <c r="M73" s="19" t="inlineStr"/>
      <c r="N73" s="19" t="inlineStr"/>
    </row>
    <row r="74">
      <c r="A74" s="18" t="inlineStr">
        <is>
          <t>M5-02</t>
        </is>
      </c>
      <c r="B74" s="19" t="inlineStr">
        <is>
          <t>M5 Áreas y servidores</t>
        </is>
      </c>
      <c r="C74" s="19" t="inlineStr">
        <is>
          <t>Roles jerárquicos dentro de cada área (directores, líderes, maestros, servidores).</t>
        </is>
      </c>
      <c r="D74" s="19" t="inlineStr">
        <is>
          <t>v1</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M5-03</t>
        </is>
      </c>
      <c r="B75" s="19" t="inlineStr">
        <is>
          <t>M5 Áreas y servidores</t>
        </is>
      </c>
      <c r="C75" s="19" t="inlineStr">
        <is>
          <t>Organigrama y número real de servidores activos, directores y líderes por área.</t>
        </is>
      </c>
      <c r="D75" s="19" t="inlineStr">
        <is>
          <t>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M5-04</t>
        </is>
      </c>
      <c r="B76" s="19" t="inlineStr">
        <is>
          <t>M5 Áreas y servidores</t>
        </is>
      </c>
      <c r="C76" s="19" t="inlineStr">
        <is>
          <t>Control de asistencia a turnos o servicios.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M5-05</t>
        </is>
      </c>
      <c r="B77" s="19" t="inlineStr">
        <is>
          <t>M5 Áreas y servidores</t>
        </is>
      </c>
      <c r="C77" s="19" t="inlineStr">
        <is>
          <t>Tablero de avisos y notificaciones interno por área.</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M5-06</t>
        </is>
      </c>
      <c r="B78" s="19" t="inlineStr">
        <is>
          <t>M5 Áreas y servidores</t>
        </is>
      </c>
      <c r="C78" s="19" t="inlineStr">
        <is>
          <t>Gestión financiera por área: caja chica y gastos operativos.</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M6-01</t>
        </is>
      </c>
      <c r="B79" s="19" t="inlineStr">
        <is>
          <t>M6 Ministerios de servicio</t>
        </is>
      </c>
      <c r="C79" s="19" t="inlineStr">
        <is>
          <t>Control de personal propio de cada ministerio.</t>
        </is>
      </c>
      <c r="D79" s="22" t="inlineStr">
        <is>
          <t>Recuperado v1</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M6-02</t>
        </is>
      </c>
      <c r="B80" s="19" t="inlineStr">
        <is>
          <t>M6 Ministerios de servicio</t>
        </is>
      </c>
      <c r="C80" s="19" t="inlineStr">
        <is>
          <t>Menú o catálogo digital interactivo (público o interno), autogestionado.</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M6-03</t>
        </is>
      </c>
      <c r="B81" s="19" t="inlineStr">
        <is>
          <t>M6 Ministerios de servicio</t>
        </is>
      </c>
      <c r="C81" s="19" t="inlineStr">
        <is>
          <t>Calendario de turnos: días regulares de servicio y eventos especiales.</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M6-04</t>
        </is>
      </c>
      <c r="B82" s="19" t="inlineStr">
        <is>
          <t>M6 Ministerios de servicio</t>
        </is>
      </c>
      <c r="C82" s="19" t="inlineStr">
        <is>
          <t>Registro de asistentes o personas atendidas.</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M6-05</t>
        </is>
      </c>
      <c r="B83" s="19" t="inlineStr">
        <is>
          <t>M6 Ministerios de servicio</t>
        </is>
      </c>
      <c r="C83" s="19" t="inlineStr">
        <is>
          <t>Control de gastos y de inventario básico.</t>
        </is>
      </c>
      <c r="D83" s="19" t="inlineStr">
        <is>
          <t>v1 / v2</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M6-06</t>
        </is>
      </c>
      <c r="B84" s="19" t="inlineStr">
        <is>
          <t>M6 Ministerios de servicio</t>
        </is>
      </c>
      <c r="C84" s="19" t="inlineStr">
        <is>
          <t>Canal de comunicación directo con el área de Administración General.</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M6-07</t>
        </is>
      </c>
      <c r="B85" s="19" t="inlineStr">
        <is>
          <t>M6 Ministerios de servicio</t>
        </is>
      </c>
      <c r="C85" s="19" t="inlineStr">
        <is>
          <t>Servicio Médico: los datos de salud de las personas atendidas requieren tratamiento de datos sensibles. Por definir alcance.</t>
        </is>
      </c>
      <c r="D85" s="21" t="inlineStr">
        <is>
          <t>Nuevo v3</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Por definir</t>
        </is>
      </c>
      <c r="L85" s="19" t="inlineStr">
        <is>
          <t>Pendiente</t>
        </is>
      </c>
      <c r="M85" s="19" t="inlineStr"/>
      <c r="N85" s="19" t="inlineStr"/>
    </row>
    <row r="86">
      <c r="A86" s="18" t="inlineStr">
        <is>
          <t>M7-01</t>
        </is>
      </c>
      <c r="B86" s="19" t="inlineStr">
        <is>
          <t>M7 Eventos y aforo</t>
        </is>
      </c>
      <c r="C86" s="19" t="inlineStr">
        <is>
          <t>Eventos abiertos o evangelísticos con formulario de inscripción rápida, sin requerir historial previo.</t>
        </is>
      </c>
      <c r="D86" s="19" t="inlineStr">
        <is>
          <t>v1 / v2</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M7-02</t>
        </is>
      </c>
      <c r="B87" s="19" t="inlineStr">
        <is>
          <t>M7 Eventos y aforo</t>
        </is>
      </c>
      <c r="C87" s="19" t="inlineStr">
        <is>
          <t>Consolidación (inducción de personas que asisten por primera vez) como tipo de evento.</t>
        </is>
      </c>
      <c r="D87" s="22" t="inlineStr">
        <is>
          <t>Recuperado v1</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M7-03</t>
        </is>
      </c>
      <c r="B88" s="19" t="inlineStr">
        <is>
          <t>M7 Eventos y aforo</t>
        </is>
      </c>
      <c r="C88" s="19" t="inlineStr">
        <is>
          <t>Encargados de evento (personal de la iglesia únicamente; no se controla personal externo).</t>
        </is>
      </c>
      <c r="D88" s="22" t="inlineStr">
        <is>
          <t>Recuperado 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M7-04</t>
        </is>
      </c>
      <c r="B89" s="19" t="inlineStr">
        <is>
          <t>M7 Eventos y aforo</t>
        </is>
      </c>
      <c r="C89" s="19" t="inlineStr">
        <is>
          <t>Control de cupo en tiempo real que bloquea el sobrecupo en eventos con aforo limitado (ej. 30 o 50 lugares).</t>
        </is>
      </c>
      <c r="D89" s="19" t="inlineStr">
        <is>
          <t>v1 / v2</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M7-05</t>
        </is>
      </c>
      <c r="B90" s="19" t="inlineStr">
        <is>
          <t>M7 Eventos y aforo</t>
        </is>
      </c>
      <c r="C90" s="19" t="inlineStr">
        <is>
          <t>Control de asistentes sin lista previa, para aforo y para dar a conocer la iglesia.</t>
        </is>
      </c>
      <c r="D90" s="19" t="inlineStr">
        <is>
          <t>v1</t>
        </is>
      </c>
      <c r="E90" s="19" t="inlineStr">
        <is>
          <t>Fuera del MVP</t>
        </is>
      </c>
      <c r="F90" s="19" t="inlineStr">
        <is>
          <t>Fase 4</t>
        </is>
      </c>
      <c r="G90" s="19" t="inlineStr">
        <is>
          <t>—</t>
        </is>
      </c>
      <c r="H90" s="19" t="inlineStr">
        <is>
          <t>Posterior</t>
        </is>
      </c>
      <c r="I90" s="20" t="inlineStr">
        <is>
          <t>Se define al iniciar la fase.</t>
        </is>
      </c>
      <c r="J90" s="20" t="inlineStr">
        <is>
          <t>Se define al iniciar la fase.</t>
        </is>
      </c>
      <c r="K90" s="19" t="inlineStr">
        <is>
          <t>VoBo pendiente</t>
        </is>
      </c>
      <c r="L90" s="19" t="inlineStr">
        <is>
          <t>Pendiente</t>
        </is>
      </c>
      <c r="M90" s="19" t="inlineStr"/>
      <c r="N90" s="19" t="inlineStr"/>
    </row>
    <row r="91">
      <c r="A91" s="18" t="inlineStr">
        <is>
          <t>M7-06</t>
        </is>
      </c>
      <c r="B91" s="19" t="inlineStr">
        <is>
          <t>M7 Eventos y aforo</t>
        </is>
      </c>
      <c r="C91" s="19" t="inlineStr">
        <is>
          <t>Seguimiento de personas nuevas: conversión de un invitado a Expediente Digital y canalización a un curso o Grupo de Conexión.</t>
        </is>
      </c>
      <c r="D91" s="21" t="inlineStr">
        <is>
          <t>Nuevo v3</t>
        </is>
      </c>
      <c r="E91" s="19" t="inlineStr">
        <is>
          <t>Fuera del MVP</t>
        </is>
      </c>
      <c r="F91" s="19" t="inlineStr">
        <is>
          <t>Fase 4</t>
        </is>
      </c>
      <c r="G91" s="19" t="inlineStr">
        <is>
          <t>—</t>
        </is>
      </c>
      <c r="H91" s="19" t="inlineStr">
        <is>
          <t>Posterior</t>
        </is>
      </c>
      <c r="I91" s="20" t="inlineStr">
        <is>
          <t>Se define al iniciar la fase.</t>
        </is>
      </c>
      <c r="J91" s="20" t="inlineStr">
        <is>
          <t>Se define al iniciar la fase.</t>
        </is>
      </c>
      <c r="K91" s="19" t="inlineStr">
        <is>
          <t>VoBo pendiente</t>
        </is>
      </c>
      <c r="L91" s="19" t="inlineStr">
        <is>
          <t>Pendiente</t>
        </is>
      </c>
      <c r="M91" s="19" t="inlineStr"/>
      <c r="N91" s="19" t="inlineStr"/>
    </row>
    <row r="92">
      <c r="A92" s="18" t="inlineStr">
        <is>
          <t>NF-01</t>
        </is>
      </c>
      <c r="B92" s="19" t="inlineStr">
        <is>
          <t>No funcionales</t>
        </is>
      </c>
      <c r="C92" s="19" t="inlineStr">
        <is>
          <t>Cumplimiento de la LFPDPPP: aviso de privacidad, consentimiento y derechos ARCO.</t>
        </is>
      </c>
      <c r="D92" s="19" t="inlineStr">
        <is>
          <t>v3</t>
        </is>
      </c>
      <c r="E92" s="19" t="inlineStr">
        <is>
          <t>MVP</t>
        </is>
      </c>
      <c r="F92" s="19" t="inlineStr">
        <is>
          <t>Fase 0</t>
        </is>
      </c>
      <c r="G92" s="19" t="inlineStr">
        <is>
          <t>Sprint 1</t>
        </is>
      </c>
      <c r="H92" s="19" t="inlineStr">
        <is>
          <t>H1 · 18-oct (núcleo Fase 0)</t>
        </is>
      </c>
      <c r="I92" s="19" t="inlineStr">
        <is>
          <t>Como iglesia queremos cumplir con la LFPDPPP.</t>
        </is>
      </c>
      <c r="J92" s="19" t="inlineStr">
        <is>
          <t>Aviso de privacidad, consentimiento y atención de derechos ARCO disponibles.</t>
        </is>
      </c>
      <c r="K92" s="19" t="inlineStr">
        <is>
          <t>VoBo pendiente</t>
        </is>
      </c>
      <c r="L92" s="19" t="inlineStr">
        <is>
          <t>Pendiente</t>
        </is>
      </c>
      <c r="M92" s="19" t="inlineStr"/>
      <c r="N92" s="19" t="inlineStr"/>
    </row>
    <row r="93">
      <c r="A93" s="18" t="inlineStr">
        <is>
          <t>NF-02</t>
        </is>
      </c>
      <c r="B93" s="19" t="inlineStr">
        <is>
          <t>No funcionales</t>
        </is>
      </c>
      <c r="C93" s="19" t="inlineStr">
        <is>
          <t>Cifrado en tránsito y en reposo. Cifrado adicional a nivel de campo para peticiones de oración.</t>
        </is>
      </c>
      <c r="D93" s="19" t="inlineStr">
        <is>
          <t>v3</t>
        </is>
      </c>
      <c r="E93" s="19" t="inlineStr">
        <is>
          <t>MVP</t>
        </is>
      </c>
      <c r="F93" s="19" t="inlineStr">
        <is>
          <t>Fase 0</t>
        </is>
      </c>
      <c r="G93" s="19" t="inlineStr">
        <is>
          <t>Sprint 0</t>
        </is>
      </c>
      <c r="H93" s="19" t="inlineStr">
        <is>
          <t>H1 · 18-oct (núcleo Fase 0)</t>
        </is>
      </c>
      <c r="I93" s="19" t="inlineStr">
        <is>
          <t>Como iglesia queremos proteger los datos sensibles.</t>
        </is>
      </c>
      <c r="J93" s="19" t="inlineStr">
        <is>
          <t>HTTPS obligatorio y peticiones de oración ilegibles directamente en la base.</t>
        </is>
      </c>
      <c r="K93" s="19" t="inlineStr">
        <is>
          <t>VoBo pendiente</t>
        </is>
      </c>
      <c r="L93" s="19" t="inlineStr">
        <is>
          <t>En pruebas</t>
        </is>
      </c>
      <c r="M93" s="19" t="inlineStr">
        <is>
          <t>Rama feature/m3-peticiones-oracion · 166 pruebas de backend y 32 de frontend pasan; probado contra la base real</t>
        </is>
      </c>
      <c r="N93" s="19" t="inlineStr">
        <is>
          <t>2026-10-24 · Peticiones cifradas a nivel de campo; falta cifrado en reposo de toda la base (proveedor de nube).</t>
        </is>
      </c>
    </row>
    <row r="94">
      <c r="A94" s="18" t="inlineStr">
        <is>
          <t>NF-03</t>
        </is>
      </c>
      <c r="B94" s="19" t="inlineStr">
        <is>
          <t>No funcionales</t>
        </is>
      </c>
      <c r="C94" s="19" t="inlineStr">
        <is>
          <t>Bitácora de auditoría de solo-añadir: quién consultó o modificó expedientes, ofrendas y asistencias.</t>
        </is>
      </c>
      <c r="D94" s="19" t="inlineStr">
        <is>
          <t>v3</t>
        </is>
      </c>
      <c r="E94" s="19" t="inlineStr">
        <is>
          <t>MVP</t>
        </is>
      </c>
      <c r="F94" s="19" t="inlineStr">
        <is>
          <t>Fase 0</t>
        </is>
      </c>
      <c r="G94" s="19" t="inlineStr">
        <is>
          <t>Sprint 1</t>
        </is>
      </c>
      <c r="H94" s="19" t="inlineStr">
        <is>
          <t>H1 · 18-oct (núcleo Fase 0)</t>
        </is>
      </c>
      <c r="I94" s="19" t="inlineStr">
        <is>
          <t>Como pastor quiero una bitácora que nadie pueda alterar.</t>
        </is>
      </c>
      <c r="J94" s="19" t="inlineStr">
        <is>
          <t>El usuario de la aplicación no puede actualizar ni borrar registros de bitácora.</t>
        </is>
      </c>
      <c r="K94" s="19" t="inlineStr">
        <is>
          <t>VoBo pendiente</t>
        </is>
      </c>
      <c r="L94" s="19" t="inlineStr">
        <is>
          <t>En pruebas</t>
        </is>
      </c>
      <c r="M94" s="19" t="inlineStr">
        <is>
          <t>Rama feature/nf-03-bitacora · 69 pruebas de backend pasan</t>
        </is>
      </c>
      <c r="N94" s="19" t="inlineStr">
        <is>
          <t>2026-10-10 · Bloqueo en aplicación y trigger de PostgreSQL (UPDATE/DELETE/TRUNCATE); pantalla de consulta con permiso bitacora.ver.</t>
        </is>
      </c>
    </row>
    <row r="95">
      <c r="A95" s="18" t="inlineStr">
        <is>
          <t>NF-04</t>
        </is>
      </c>
      <c r="B95" s="19" t="inlineStr">
        <is>
          <t>No funcionales</t>
        </is>
      </c>
      <c r="C95" s="19" t="inlineStr">
        <is>
          <t>Respaldos automáticos diarios cifrados y prueba periódica de restauración.</t>
        </is>
      </c>
      <c r="D95" s="19" t="inlineStr">
        <is>
          <t>v3</t>
        </is>
      </c>
      <c r="E95" s="19" t="inlineStr">
        <is>
          <t>MVP</t>
        </is>
      </c>
      <c r="F95" s="19" t="inlineStr">
        <is>
          <t>Fase 0</t>
        </is>
      </c>
      <c r="G95" s="19" t="inlineStr">
        <is>
          <t>Sprint 0</t>
        </is>
      </c>
      <c r="H95" s="19" t="inlineStr">
        <is>
          <t>H1 · 18-oct (núcleo Fase 0)</t>
        </is>
      </c>
      <c r="I95" s="19" t="inlineStr">
        <is>
          <t>Como iglesia queremos no perder información.</t>
        </is>
      </c>
      <c r="J95" s="19" t="inlineStr">
        <is>
          <t>Respaldo diario cifrado y restauración probada en un ambiente de pruebas.</t>
        </is>
      </c>
      <c r="K95" s="19" t="inlineStr">
        <is>
          <t>VoBo pendiente</t>
        </is>
      </c>
      <c r="L95" s="19" t="inlineStr">
        <is>
          <t>Pendiente</t>
        </is>
      </c>
      <c r="M95" s="19" t="inlineStr"/>
      <c r="N95" s="19" t="inlineStr"/>
    </row>
    <row r="96">
      <c r="A96" s="18" t="inlineStr">
        <is>
          <t>NF-05</t>
        </is>
      </c>
      <c r="B96" s="19" t="inlineStr">
        <is>
          <t>No funcionales</t>
        </is>
      </c>
      <c r="C96" s="19" t="inlineStr">
        <is>
          <t>Disponibilidad esperada en horarios de servicio (fines de semana y reuniones de grupo). Por definir meta.</t>
        </is>
      </c>
      <c r="D96" s="21" t="inlineStr">
        <is>
          <t>Nuevo v3</t>
        </is>
      </c>
      <c r="E96" s="19" t="inlineStr">
        <is>
          <t>Fuera del MVP</t>
        </is>
      </c>
      <c r="F96" s="19" t="inlineStr">
        <is>
          <t>Transversal</t>
        </is>
      </c>
      <c r="G96" s="19" t="inlineStr">
        <is>
          <t>—</t>
        </is>
      </c>
      <c r="H96" s="19" t="inlineStr">
        <is>
          <t>Posterior</t>
        </is>
      </c>
      <c r="I96" s="20" t="inlineStr">
        <is>
          <t>Se define al iniciar la fase.</t>
        </is>
      </c>
      <c r="J96" s="20" t="inlineStr">
        <is>
          <t>Se define al iniciar la fase.</t>
        </is>
      </c>
      <c r="K96" s="19" t="inlineStr">
        <is>
          <t>Por definir</t>
        </is>
      </c>
      <c r="L96" s="19" t="inlineStr">
        <is>
          <t>Pendiente</t>
        </is>
      </c>
      <c r="M96" s="19" t="inlineStr"/>
      <c r="N96" s="19" t="inlineStr"/>
    </row>
    <row r="97">
      <c r="A97" s="18" t="inlineStr">
        <is>
          <t>NF-06</t>
        </is>
      </c>
      <c r="B97" s="19" t="inlineStr">
        <is>
          <t>No funcionales</t>
        </is>
      </c>
      <c r="C97" s="19" t="inlineStr">
        <is>
          <t>Pase de lista sin conexión con sincronización posterior (reuniones en domicilios con mala señal).</t>
        </is>
      </c>
      <c r="D97" s="19" t="inlineStr">
        <is>
          <t>v3</t>
        </is>
      </c>
      <c r="E97" s="19" t="inlineStr">
        <is>
          <t>MVP</t>
        </is>
      </c>
      <c r="F97" s="19" t="inlineStr">
        <is>
          <t>Fase 0</t>
        </is>
      </c>
      <c r="G97" s="19" t="inlineStr">
        <is>
          <t>Sprint 3</t>
        </is>
      </c>
      <c r="H97" s="19" t="inlineStr">
        <is>
          <t>H3 · MVP (Grupos)</t>
        </is>
      </c>
      <c r="I97" s="19" t="inlineStr">
        <is>
          <t>Como secretario quiero que el pase de lista funcione sin señal.</t>
        </is>
      </c>
      <c r="J97" s="19" t="inlineStr">
        <is>
          <t>Prueba en modo avión y sincronización al reconectar.</t>
        </is>
      </c>
      <c r="K97" s="19" t="inlineStr">
        <is>
          <t>VoBo pendiente</t>
        </is>
      </c>
      <c r="L97" s="19" t="inlineStr">
        <is>
          <t>En pruebas</t>
        </is>
      </c>
      <c r="M97" s="19" t="inlineStr">
        <is>
          <t>Rama feature/nf-06-sin-conexion · 117 pruebas de backend y 27 de frontend; probado en Chrome real con service worker</t>
        </is>
      </c>
      <c r="N97" s="19" t="inlineStr">
        <is>
          <t>2026-10-24 · Probado de punta a punta en Chrome (sin red → cola → sincronización). Pendiente probar en Android e iOS reales.</t>
        </is>
      </c>
    </row>
    <row r="98">
      <c r="A98" s="18" t="inlineStr">
        <is>
          <t>NF-07</t>
        </is>
      </c>
      <c r="B98" s="19" t="inlineStr">
        <is>
          <t>No funcionales</t>
        </is>
      </c>
      <c r="C98" s="19" t="inlineStr">
        <is>
          <t>Funciona en Android, iOS y escritorio. En iOS, las notificaciones push requieren instalar la PWA; el respaldo por WhatsApp cubre el resto.</t>
        </is>
      </c>
      <c r="D98" s="19" t="inlineStr">
        <is>
          <t>v3</t>
        </is>
      </c>
      <c r="E98" s="19" t="inlineStr">
        <is>
          <t>MVP</t>
        </is>
      </c>
      <c r="F98" s="19" t="inlineStr">
        <is>
          <t>Fase 0</t>
        </is>
      </c>
      <c r="G98" s="19" t="inlineStr">
        <is>
          <t>Sprint 0</t>
        </is>
      </c>
      <c r="H98" s="19" t="inlineStr">
        <is>
          <t>H1 · 18-oct (núcleo Fase 0)</t>
        </is>
      </c>
      <c r="I98" s="19" t="inlineStr">
        <is>
          <t>Como usuario quiero usar el sistema en mi dispositivo.</t>
        </is>
      </c>
      <c r="J98" s="19" t="inlineStr">
        <is>
          <t>Pruebas en Android, iOS y escritorio; push en iOS con la PWA instalada y respaldo por WhatsApp.</t>
        </is>
      </c>
      <c r="K98" s="19" t="inlineStr">
        <is>
          <t>VoBo pendiente</t>
        </is>
      </c>
      <c r="L98" s="19" t="inlineStr">
        <is>
          <t>Pendiente</t>
        </is>
      </c>
      <c r="M98" s="19" t="inlineStr"/>
      <c r="N98" s="19" t="inlineStr"/>
    </row>
    <row r="99">
      <c r="A99" s="18" t="inlineStr">
        <is>
          <t>NF-08</t>
        </is>
      </c>
      <c r="B99" s="19" t="inlineStr">
        <is>
          <t>No funcionales</t>
        </is>
      </c>
      <c r="C99" s="19" t="inlineStr">
        <is>
          <t>Dimensionamiento para ~1,000 personas, con picos los fines de semana, y margen de crecimiento.</t>
        </is>
      </c>
      <c r="D99" s="21" t="inlineStr">
        <is>
          <t>Resp. P8</t>
        </is>
      </c>
      <c r="E99" s="19" t="inlineStr">
        <is>
          <t>MVP</t>
        </is>
      </c>
      <c r="F99" s="19" t="inlineStr">
        <is>
          <t>Fase 0</t>
        </is>
      </c>
      <c r="G99" s="19" t="inlineStr">
        <is>
          <t>Sprint 0</t>
        </is>
      </c>
      <c r="H99" s="19" t="inlineStr">
        <is>
          <t>H1 · 18-oct (núcleo Fase 0)</t>
        </is>
      </c>
      <c r="I99" s="19" t="inlineStr">
        <is>
          <t>Como iglesia queremos que el sistema soporte a ~1,000 personas.</t>
        </is>
      </c>
      <c r="J99" s="19" t="inlineStr">
        <is>
          <t>Prueba de carga con volumen representativo (por definir) sin degradación.</t>
        </is>
      </c>
      <c r="K99" s="19" t="inlineStr">
        <is>
          <t>VoBo pendiente</t>
        </is>
      </c>
      <c r="L99" s="19" t="inlineStr">
        <is>
          <t>Pendiente</t>
        </is>
      </c>
      <c r="M99" s="19" t="inlineStr"/>
      <c r="N99" s="19" t="inlineStr"/>
    </row>
    <row r="100">
      <c r="A100" s="18" t="inlineStr">
        <is>
          <t>NF-09</t>
        </is>
      </c>
      <c r="B100" s="19" t="inlineStr">
        <is>
          <t>No funcionales</t>
        </is>
      </c>
      <c r="C100" s="19" t="inlineStr">
        <is>
          <t>Reportes transversales: asistencia, finanzas, crecimiento de la iglesia, exportables a Excel y PDF.</t>
        </is>
      </c>
      <c r="D100" s="21" t="inlineStr">
        <is>
          <t>Nuevo v3</t>
        </is>
      </c>
      <c r="E100" s="19" t="inlineStr">
        <is>
          <t>Fuera del MVP</t>
        </is>
      </c>
      <c r="F100" s="19" t="inlineStr">
        <is>
          <t>Transversal</t>
        </is>
      </c>
      <c r="G100" s="19" t="inlineStr">
        <is>
          <t>—</t>
        </is>
      </c>
      <c r="H100" s="19" t="inlineStr">
        <is>
          <t>Posterior</t>
        </is>
      </c>
      <c r="I100" s="20" t="inlineStr">
        <is>
          <t>Se define al iniciar la fase.</t>
        </is>
      </c>
      <c r="J100" s="20" t="inlineStr">
        <is>
          <t>Se define al iniciar la fase.</t>
        </is>
      </c>
      <c r="K100" s="19" t="inlineStr">
        <is>
          <t>VoBo pendiente</t>
        </is>
      </c>
      <c r="L100" s="19" t="inlineStr">
        <is>
          <t>Pendiente</t>
        </is>
      </c>
      <c r="M100" s="19" t="inlineStr"/>
      <c r="N100" s="19" t="inlineStr"/>
    </row>
    <row r="101">
      <c r="A101" s="18" t="inlineStr">
        <is>
          <t>NF-10</t>
        </is>
      </c>
      <c r="B101" s="19" t="inlineStr">
        <is>
          <t>No funcionales</t>
        </is>
      </c>
      <c r="C101" s="19" t="inlineStr">
        <is>
          <t>Usabilidad para personas mayores: tipografía grande, alto contraste, flujos cortos (ver sección 5).</t>
        </is>
      </c>
      <c r="D101" s="19" t="inlineStr">
        <is>
          <t>v3 + Obs. 1</t>
        </is>
      </c>
      <c r="E101" s="19" t="inlineStr">
        <is>
          <t>MVP</t>
        </is>
      </c>
      <c r="F101" s="19" t="inlineStr">
        <is>
          <t>Fase 0</t>
        </is>
      </c>
      <c r="G101" s="19" t="inlineStr">
        <is>
          <t>Sprint 0</t>
        </is>
      </c>
      <c r="H101" s="19" t="inlineStr">
        <is>
          <t>H1 · 18-oct (núcleo Fase 0)</t>
        </is>
      </c>
      <c r="I101" s="19" t="inlineStr">
        <is>
          <t>Como persona mayor quiero una interfaz fácil de leer y usar.</t>
        </is>
      </c>
      <c r="J101" s="19" t="inlineStr">
        <is>
          <t>Texto base 18 px, botones de al menos 48 px, contraste AA; prueba con usuarios mayores.</t>
        </is>
      </c>
      <c r="K101" s="19" t="inlineStr">
        <is>
          <t>VoBo pendiente</t>
        </is>
      </c>
      <c r="L101" s="19" t="inlineStr">
        <is>
          <t>Pendiente</t>
        </is>
      </c>
      <c r="M101" s="19" t="inlineStr"/>
      <c r="N101" s="19" t="inlineStr"/>
    </row>
  </sheetData>
  <autoFilter ref="A1:N101"/>
  <conditionalFormatting sqref="L2:L101">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101">
    <cfRule type="expression" priority="6" dxfId="0">
      <formula>$K2="Aprobado"</formula>
    </cfRule>
    <cfRule type="expression" priority="7" dxfId="4">
      <formula>$K2="Por definir"</formula>
    </cfRule>
  </conditionalFormatting>
  <conditionalFormatting sqref="H2:H101">
    <cfRule type="expression" priority="8" dxfId="5">
      <formula>LEFT($H2,2)="H1"</formula>
    </cfRule>
  </conditionalFormatting>
  <dataValidations count="2">
    <dataValidation sqref="L2:L101" showDropDown="0" showInputMessage="0" showErrorMessage="0" allowBlank="0" type="list">
      <formula1>"Pendiente,En diseño,En desarrollo,En pruebas,Hecho,Bloqueado"</formula1>
    </dataValidation>
    <dataValidation sqref="K2:K101"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Enlace y QR por grupo, sala de espera con aprobación del líder, asignación manual con aviso y rol por defecto Miembro / Asistente. Pendiente: definir qué rol hace la asignación manual.</t>
        </is>
      </c>
      <c r="E28" s="24" t="inlineStr">
        <is>
          <t>Hecho (v3.18)</t>
        </is>
      </c>
    </row>
    <row r="29">
      <c r="A29" s="18" t="inlineStr">
        <is>
          <t>P1-10</t>
        </is>
      </c>
      <c r="B29" s="24" t="inlineStr">
        <is>
          <t>Pruebas 1: avisos masivos a la iglesia, grupos, ministerios (áreas de servicio) o personas; agrupar los recibidos.</t>
        </is>
      </c>
      <c r="C29" s="24" t="inlineStr">
        <is>
          <t>M1-09</t>
        </is>
      </c>
      <c r="D29" s="24" t="inlineStr">
        <is>
          <t>Los ministerios se manejan como unidades (áreas de servicio). Avisos masivos a iglesia, grupos, unidades y personas, con permisos por destino, y avisos recibidos agrupados.</t>
        </is>
      </c>
      <c r="E29" s="24" t="inlineStr">
        <is>
          <t>Hecho (v3.20)</t>
        </is>
      </c>
    </row>
    <row r="30">
      <c r="A30" s="18" t="inlineStr">
        <is>
          <t>P1-11</t>
        </is>
      </c>
      <c r="B30" s="24" t="inlineStr">
        <is>
          <t>Pruebas 1: Mi cuenta editable (datos básicos no sensibles; lo administrativo lo edita la secretaria).</t>
        </is>
      </c>
      <c r="C30" s="24" t="inlineStr">
        <is>
          <t>M1-11</t>
        </is>
      </c>
      <c r="D30" s="24" t="inlineStr">
        <is>
          <t>Campos editables por la persona vs. por administración.</t>
        </is>
      </c>
      <c r="E30" s="24" t="inlineStr">
        <is>
          <t>Planeado (paso 7)</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2026-10-29T16:20:46Z</dcterms:created>
  <dcterms:modified xmlns:dcterms="http://purl.org/dc/terms/" xmlns:xsi="http://www.w3.org/2001/XMLSchema-instance" xsi:type="dcterms:W3CDTF">2026-10-29T16:20:46Z</dcterms:modified>
</cp:coreProperties>
</file>