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COUNTIF(Matriz!$F$2:$F$95,$A5)</f>
        <v/>
      </c>
      <c r="C5" s="12">
        <f>COUNTIFS(Matriz!$F$2:$F$95,$A5,Matriz!$L$2:$L$95,"Pendiente")</f>
        <v/>
      </c>
      <c r="D5" s="12">
        <f>COUNTIFS(Matriz!$F$2:$F$95,$A5,Matriz!$L$2:$L$95,"En diseño")</f>
        <v/>
      </c>
      <c r="E5" s="12">
        <f>COUNTIFS(Matriz!$F$2:$F$95,$A5,Matriz!$L$2:$L$95,"En desarrollo")</f>
        <v/>
      </c>
      <c r="F5" s="12">
        <f>COUNTIFS(Matriz!$F$2:$F$95,$A5,Matriz!$L$2:$L$95,"En pruebas")</f>
        <v/>
      </c>
      <c r="G5" s="12">
        <f>COUNTIFS(Matriz!$F$2:$F$95,$A5,Matriz!$L$2:$L$95,"Hecho")</f>
        <v/>
      </c>
      <c r="H5" s="12">
        <f>COUNTIFS(Matriz!$F$2:$F$95,$A5,Matriz!$L$2:$L$95,"Bloqueado")</f>
        <v/>
      </c>
      <c r="I5" s="13">
        <f>IF(B5=0,0,G5/B5)</f>
        <v/>
      </c>
    </row>
    <row r="6">
      <c r="A6" s="11" t="inlineStr">
        <is>
          <t>Fase 1</t>
        </is>
      </c>
      <c r="B6" s="12">
        <f>COUNTIF(Matriz!$F$2:$F$95,$A6)</f>
        <v/>
      </c>
      <c r="C6" s="12">
        <f>COUNTIFS(Matriz!$F$2:$F$95,$A6,Matriz!$L$2:$L$95,"Pendiente")</f>
        <v/>
      </c>
      <c r="D6" s="12">
        <f>COUNTIFS(Matriz!$F$2:$F$95,$A6,Matriz!$L$2:$L$95,"En diseño")</f>
        <v/>
      </c>
      <c r="E6" s="12">
        <f>COUNTIFS(Matriz!$F$2:$F$95,$A6,Matriz!$L$2:$L$95,"En desarrollo")</f>
        <v/>
      </c>
      <c r="F6" s="12">
        <f>COUNTIFS(Matriz!$F$2:$F$95,$A6,Matriz!$L$2:$L$95,"En pruebas")</f>
        <v/>
      </c>
      <c r="G6" s="12">
        <f>COUNTIFS(Matriz!$F$2:$F$95,$A6,Matriz!$L$2:$L$95,"Hecho")</f>
        <v/>
      </c>
      <c r="H6" s="12">
        <f>COUNTIFS(Matriz!$F$2:$F$95,$A6,Matriz!$L$2:$L$95,"Bloqueado")</f>
        <v/>
      </c>
      <c r="I6" s="13">
        <f>IF(B6=0,0,G6/B6)</f>
        <v/>
      </c>
    </row>
    <row r="7">
      <c r="A7" s="11" t="inlineStr">
        <is>
          <t>Fase 2</t>
        </is>
      </c>
      <c r="B7" s="12">
        <f>COUNTIF(Matriz!$F$2:$F$95,$A7)</f>
        <v/>
      </c>
      <c r="C7" s="12">
        <f>COUNTIFS(Matriz!$F$2:$F$95,$A7,Matriz!$L$2:$L$95,"Pendiente")</f>
        <v/>
      </c>
      <c r="D7" s="12">
        <f>COUNTIFS(Matriz!$F$2:$F$95,$A7,Matriz!$L$2:$L$95,"En diseño")</f>
        <v/>
      </c>
      <c r="E7" s="12">
        <f>COUNTIFS(Matriz!$F$2:$F$95,$A7,Matriz!$L$2:$L$95,"En desarrollo")</f>
        <v/>
      </c>
      <c r="F7" s="12">
        <f>COUNTIFS(Matriz!$F$2:$F$95,$A7,Matriz!$L$2:$L$95,"En pruebas")</f>
        <v/>
      </c>
      <c r="G7" s="12">
        <f>COUNTIFS(Matriz!$F$2:$F$95,$A7,Matriz!$L$2:$L$95,"Hecho")</f>
        <v/>
      </c>
      <c r="H7" s="12">
        <f>COUNTIFS(Matriz!$F$2:$F$95,$A7,Matriz!$L$2:$L$95,"Bloqueado")</f>
        <v/>
      </c>
      <c r="I7" s="13">
        <f>IF(B7=0,0,G7/B7)</f>
        <v/>
      </c>
    </row>
    <row r="8">
      <c r="A8" s="11" t="inlineStr">
        <is>
          <t>Fase 3</t>
        </is>
      </c>
      <c r="B8" s="12">
        <f>COUNTIF(Matriz!$F$2:$F$95,$A8)</f>
        <v/>
      </c>
      <c r="C8" s="12">
        <f>COUNTIFS(Matriz!$F$2:$F$95,$A8,Matriz!$L$2:$L$95,"Pendiente")</f>
        <v/>
      </c>
      <c r="D8" s="12">
        <f>COUNTIFS(Matriz!$F$2:$F$95,$A8,Matriz!$L$2:$L$95,"En diseño")</f>
        <v/>
      </c>
      <c r="E8" s="12">
        <f>COUNTIFS(Matriz!$F$2:$F$95,$A8,Matriz!$L$2:$L$95,"En desarrollo")</f>
        <v/>
      </c>
      <c r="F8" s="12">
        <f>COUNTIFS(Matriz!$F$2:$F$95,$A8,Matriz!$L$2:$L$95,"En pruebas")</f>
        <v/>
      </c>
      <c r="G8" s="12">
        <f>COUNTIFS(Matriz!$F$2:$F$95,$A8,Matriz!$L$2:$L$95,"Hecho")</f>
        <v/>
      </c>
      <c r="H8" s="12">
        <f>COUNTIFS(Matriz!$F$2:$F$95,$A8,Matriz!$L$2:$L$95,"Bloqueado")</f>
        <v/>
      </c>
      <c r="I8" s="13">
        <f>IF(B8=0,0,G8/B8)</f>
        <v/>
      </c>
    </row>
    <row r="9">
      <c r="A9" s="11" t="inlineStr">
        <is>
          <t>Fase 4</t>
        </is>
      </c>
      <c r="B9" s="12">
        <f>COUNTIF(Matriz!$F$2:$F$95,$A9)</f>
        <v/>
      </c>
      <c r="C9" s="12">
        <f>COUNTIFS(Matriz!$F$2:$F$95,$A9,Matriz!$L$2:$L$95,"Pendiente")</f>
        <v/>
      </c>
      <c r="D9" s="12">
        <f>COUNTIFS(Matriz!$F$2:$F$95,$A9,Matriz!$L$2:$L$95,"En diseño")</f>
        <v/>
      </c>
      <c r="E9" s="12">
        <f>COUNTIFS(Matriz!$F$2:$F$95,$A9,Matriz!$L$2:$L$95,"En desarrollo")</f>
        <v/>
      </c>
      <c r="F9" s="12">
        <f>COUNTIFS(Matriz!$F$2:$F$95,$A9,Matriz!$L$2:$L$95,"En pruebas")</f>
        <v/>
      </c>
      <c r="G9" s="12">
        <f>COUNTIFS(Matriz!$F$2:$F$95,$A9,Matriz!$L$2:$L$95,"Hecho")</f>
        <v/>
      </c>
      <c r="H9" s="12">
        <f>COUNTIFS(Matriz!$F$2:$F$95,$A9,Matriz!$L$2:$L$95,"Bloqueado")</f>
        <v/>
      </c>
      <c r="I9" s="13">
        <f>IF(B9=0,0,G9/B9)</f>
        <v/>
      </c>
    </row>
    <row r="10">
      <c r="A10" s="11" t="inlineStr">
        <is>
          <t>Fase 5</t>
        </is>
      </c>
      <c r="B10" s="12">
        <f>COUNTIF(Matriz!$F$2:$F$95,$A10)</f>
        <v/>
      </c>
      <c r="C10" s="12">
        <f>COUNTIFS(Matriz!$F$2:$F$95,$A10,Matriz!$L$2:$L$95,"Pendiente")</f>
        <v/>
      </c>
      <c r="D10" s="12">
        <f>COUNTIFS(Matriz!$F$2:$F$95,$A10,Matriz!$L$2:$L$95,"En diseño")</f>
        <v/>
      </c>
      <c r="E10" s="12">
        <f>COUNTIFS(Matriz!$F$2:$F$95,$A10,Matriz!$L$2:$L$95,"En desarrollo")</f>
        <v/>
      </c>
      <c r="F10" s="12">
        <f>COUNTIFS(Matriz!$F$2:$F$95,$A10,Matriz!$L$2:$L$95,"En pruebas")</f>
        <v/>
      </c>
      <c r="G10" s="12">
        <f>COUNTIFS(Matriz!$F$2:$F$95,$A10,Matriz!$L$2:$L$95,"Hecho")</f>
        <v/>
      </c>
      <c r="H10" s="12">
        <f>COUNTIFS(Matriz!$F$2:$F$95,$A10,Matriz!$L$2:$L$95,"Bloqueado")</f>
        <v/>
      </c>
      <c r="I10" s="13">
        <f>IF(B10=0,0,G10/B10)</f>
        <v/>
      </c>
    </row>
    <row r="11">
      <c r="A11" s="11" t="inlineStr">
        <is>
          <t>Transversal</t>
        </is>
      </c>
      <c r="B11" s="12">
        <f>COUNTIF(Matriz!$F$2:$F$95,$A11)</f>
        <v/>
      </c>
      <c r="C11" s="12">
        <f>COUNTIFS(Matriz!$F$2:$F$95,$A11,Matriz!$L$2:$L$95,"Pendiente")</f>
        <v/>
      </c>
      <c r="D11" s="12">
        <f>COUNTIFS(Matriz!$F$2:$F$95,$A11,Matriz!$L$2:$L$95,"En diseño")</f>
        <v/>
      </c>
      <c r="E11" s="12">
        <f>COUNTIFS(Matriz!$F$2:$F$95,$A11,Matriz!$L$2:$L$95,"En desarrollo")</f>
        <v/>
      </c>
      <c r="F11" s="12">
        <f>COUNTIFS(Matriz!$F$2:$F$95,$A11,Matriz!$L$2:$L$95,"En pruebas")</f>
        <v/>
      </c>
      <c r="G11" s="12">
        <f>COUNTIFS(Matriz!$F$2:$F$95,$A11,Matriz!$L$2:$L$95,"Hecho")</f>
        <v/>
      </c>
      <c r="H11" s="12">
        <f>COUNTIFS(Matriz!$F$2:$F$95,$A11,Matriz!$L$2:$L$95,"Bloqueado")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COUNTIF(Matriz!$H$2:$H$95,$A16)</f>
        <v/>
      </c>
      <c r="C16" s="12">
        <f>COUNTIFS(Matriz!$H$2:$H$95,$A16,Matriz!$L$2:$L$95,"Pendiente")</f>
        <v/>
      </c>
      <c r="D16" s="12">
        <f>COUNTIFS(Matriz!$H$2:$H$95,$A16,Matriz!$L$2:$L$95,"En diseño")</f>
        <v/>
      </c>
      <c r="E16" s="12">
        <f>COUNTIFS(Matriz!$H$2:$H$95,$A16,Matriz!$L$2:$L$95,"En desarrollo")</f>
        <v/>
      </c>
      <c r="F16" s="12">
        <f>COUNTIFS(Matriz!$H$2:$H$95,$A16,Matriz!$L$2:$L$95,"En pruebas")</f>
        <v/>
      </c>
      <c r="G16" s="12">
        <f>COUNTIFS(Matriz!$H$2:$H$95,$A16,Matriz!$L$2:$L$95,"Hecho")</f>
        <v/>
      </c>
      <c r="H16" s="12">
        <f>COUNTIFS(Matriz!$H$2:$H$95,$A16,Matriz!$L$2:$L$95,"Bloqueado")</f>
        <v/>
      </c>
      <c r="I16" s="13">
        <f>IF(B16=0,0,G16/B16)</f>
        <v/>
      </c>
    </row>
    <row r="17">
      <c r="A17" s="11" t="inlineStr">
        <is>
          <t>H2 · Fase 0 completa</t>
        </is>
      </c>
      <c r="B17" s="12">
        <f>COUNTIF(Matriz!$H$2:$H$95,$A17)</f>
        <v/>
      </c>
      <c r="C17" s="12">
        <f>COUNTIFS(Matriz!$H$2:$H$95,$A17,Matriz!$L$2:$L$95,"Pendiente")</f>
        <v/>
      </c>
      <c r="D17" s="12">
        <f>COUNTIFS(Matriz!$H$2:$H$95,$A17,Matriz!$L$2:$L$95,"En diseño")</f>
        <v/>
      </c>
      <c r="E17" s="12">
        <f>COUNTIFS(Matriz!$H$2:$H$95,$A17,Matriz!$L$2:$L$95,"En desarrollo")</f>
        <v/>
      </c>
      <c r="F17" s="12">
        <f>COUNTIFS(Matriz!$H$2:$H$95,$A17,Matriz!$L$2:$L$95,"En pruebas")</f>
        <v/>
      </c>
      <c r="G17" s="12">
        <f>COUNTIFS(Matriz!$H$2:$H$95,$A17,Matriz!$L$2:$L$95,"Hecho")</f>
        <v/>
      </c>
      <c r="H17" s="12">
        <f>COUNTIFS(Matriz!$H$2:$H$95,$A17,Matriz!$L$2:$L$95,"Bloqueado")</f>
        <v/>
      </c>
      <c r="I17" s="13">
        <f>IF(B17=0,0,G17/B17)</f>
        <v/>
      </c>
    </row>
    <row r="18">
      <c r="A18" s="11" t="inlineStr">
        <is>
          <t>H3 · MVP (Grupos)</t>
        </is>
      </c>
      <c r="B18" s="12">
        <f>COUNTIF(Matriz!$H$2:$H$95,$A18)</f>
        <v/>
      </c>
      <c r="C18" s="12">
        <f>COUNTIFS(Matriz!$H$2:$H$95,$A18,Matriz!$L$2:$L$95,"Pendiente")</f>
        <v/>
      </c>
      <c r="D18" s="12">
        <f>COUNTIFS(Matriz!$H$2:$H$95,$A18,Matriz!$L$2:$L$95,"En diseño")</f>
        <v/>
      </c>
      <c r="E18" s="12">
        <f>COUNTIFS(Matriz!$H$2:$H$95,$A18,Matriz!$L$2:$L$95,"En desarrollo")</f>
        <v/>
      </c>
      <c r="F18" s="12">
        <f>COUNTIFS(Matriz!$H$2:$H$95,$A18,Matriz!$L$2:$L$95,"En pruebas")</f>
        <v/>
      </c>
      <c r="G18" s="12">
        <f>COUNTIFS(Matriz!$H$2:$H$95,$A18,Matriz!$L$2:$L$95,"Hecho")</f>
        <v/>
      </c>
      <c r="H18" s="12">
        <f>COUNTIFS(Matriz!$H$2:$H$95,$A18,Matriz!$L$2:$L$95,"Bloqueado")</f>
        <v/>
      </c>
      <c r="I18" s="13">
        <f>IF(B18=0,0,G18/B18)</f>
        <v/>
      </c>
    </row>
    <row r="19">
      <c r="A19" s="11" t="inlineStr">
        <is>
          <t>Posterior</t>
        </is>
      </c>
      <c r="B19" s="12">
        <f>COUNTIF(Matriz!$H$2:$H$95,$A19)</f>
        <v/>
      </c>
      <c r="C19" s="12">
        <f>COUNTIFS(Matriz!$H$2:$H$95,$A19,Matriz!$L$2:$L$95,"Pendiente")</f>
        <v/>
      </c>
      <c r="D19" s="12">
        <f>COUNTIFS(Matriz!$H$2:$H$95,$A19,Matriz!$L$2:$L$95,"En diseño")</f>
        <v/>
      </c>
      <c r="E19" s="12">
        <f>COUNTIFS(Matriz!$H$2:$H$95,$A19,Matriz!$L$2:$L$95,"En desarrollo")</f>
        <v/>
      </c>
      <c r="F19" s="12">
        <f>COUNTIFS(Matriz!$H$2:$H$95,$A19,Matriz!$L$2:$L$95,"En pruebas")</f>
        <v/>
      </c>
      <c r="G19" s="12">
        <f>COUNTIFS(Matriz!$H$2:$H$95,$A19,Matriz!$L$2:$L$95,"Hecho")</f>
        <v/>
      </c>
      <c r="H19" s="12">
        <f>COUNTIFS(Matriz!$H$2:$H$95,$A19,Matriz!$L$2:$L$95,"Bloqueado")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COUNTIF(Matriz!$G$2:$G$95,$A24)</f>
        <v/>
      </c>
      <c r="C24" s="12">
        <f>COUNTIFS(Matriz!$G$2:$G$95,$A24,Matriz!$L$2:$L$95,"Pendiente")</f>
        <v/>
      </c>
      <c r="D24" s="12">
        <f>COUNTIFS(Matriz!$G$2:$G$95,$A24,Matriz!$L$2:$L$95,"En diseño")</f>
        <v/>
      </c>
      <c r="E24" s="12">
        <f>COUNTIFS(Matriz!$G$2:$G$95,$A24,Matriz!$L$2:$L$95,"En desarrollo")</f>
        <v/>
      </c>
      <c r="F24" s="12">
        <f>COUNTIFS(Matriz!$G$2:$G$95,$A24,Matriz!$L$2:$L$95,"En pruebas")</f>
        <v/>
      </c>
      <c r="G24" s="12">
        <f>COUNTIFS(Matriz!$G$2:$G$95,$A24,Matriz!$L$2:$L$95,"Hecho")</f>
        <v/>
      </c>
      <c r="H24" s="12">
        <f>COUNTIFS(Matriz!$G$2:$G$95,$A24,Matriz!$L$2:$L$95,"Bloqueado")</f>
        <v/>
      </c>
      <c r="I24" s="13">
        <f>IF(B24=0,0,G24/B24)</f>
        <v/>
      </c>
    </row>
    <row r="25">
      <c r="A25" s="11" t="inlineStr">
        <is>
          <t>Sprint 1</t>
        </is>
      </c>
      <c r="B25" s="12">
        <f>COUNTIF(Matriz!$G$2:$G$95,$A25)</f>
        <v/>
      </c>
      <c r="C25" s="12">
        <f>COUNTIFS(Matriz!$G$2:$G$95,$A25,Matriz!$L$2:$L$95,"Pendiente")</f>
        <v/>
      </c>
      <c r="D25" s="12">
        <f>COUNTIFS(Matriz!$G$2:$G$95,$A25,Matriz!$L$2:$L$95,"En diseño")</f>
        <v/>
      </c>
      <c r="E25" s="12">
        <f>COUNTIFS(Matriz!$G$2:$G$95,$A25,Matriz!$L$2:$L$95,"En desarrollo")</f>
        <v/>
      </c>
      <c r="F25" s="12">
        <f>COUNTIFS(Matriz!$G$2:$G$95,$A25,Matriz!$L$2:$L$95,"En pruebas")</f>
        <v/>
      </c>
      <c r="G25" s="12">
        <f>COUNTIFS(Matriz!$G$2:$G$95,$A25,Matriz!$L$2:$L$95,"Hecho")</f>
        <v/>
      </c>
      <c r="H25" s="12">
        <f>COUNTIFS(Matriz!$G$2:$G$95,$A25,Matriz!$L$2:$L$95,"Bloqueado")</f>
        <v/>
      </c>
      <c r="I25" s="13">
        <f>IF(B25=0,0,G25/B25)</f>
        <v/>
      </c>
    </row>
    <row r="26">
      <c r="A26" s="11" t="inlineStr">
        <is>
          <t>Sprint 2</t>
        </is>
      </c>
      <c r="B26" s="12">
        <f>COUNTIF(Matriz!$G$2:$G$95,$A26)</f>
        <v/>
      </c>
      <c r="C26" s="12">
        <f>COUNTIFS(Matriz!$G$2:$G$95,$A26,Matriz!$L$2:$L$95,"Pendiente")</f>
        <v/>
      </c>
      <c r="D26" s="12">
        <f>COUNTIFS(Matriz!$G$2:$G$95,$A26,Matriz!$L$2:$L$95,"En diseño")</f>
        <v/>
      </c>
      <c r="E26" s="12">
        <f>COUNTIFS(Matriz!$G$2:$G$95,$A26,Matriz!$L$2:$L$95,"En desarrollo")</f>
        <v/>
      </c>
      <c r="F26" s="12">
        <f>COUNTIFS(Matriz!$G$2:$G$95,$A26,Matriz!$L$2:$L$95,"En pruebas")</f>
        <v/>
      </c>
      <c r="G26" s="12">
        <f>COUNTIFS(Matriz!$G$2:$G$95,$A26,Matriz!$L$2:$L$95,"Hecho")</f>
        <v/>
      </c>
      <c r="H26" s="12">
        <f>COUNTIFS(Matriz!$G$2:$G$95,$A26,Matriz!$L$2:$L$95,"Bloqueado")</f>
        <v/>
      </c>
      <c r="I26" s="13">
        <f>IF(B26=0,0,G26/B26)</f>
        <v/>
      </c>
    </row>
    <row r="27">
      <c r="A27" s="11" t="inlineStr">
        <is>
          <t>Sprint 3</t>
        </is>
      </c>
      <c r="B27" s="12">
        <f>COUNTIF(Matriz!$G$2:$G$95,$A27)</f>
        <v/>
      </c>
      <c r="C27" s="12">
        <f>COUNTIFS(Matriz!$G$2:$G$95,$A27,Matriz!$L$2:$L$95,"Pendiente")</f>
        <v/>
      </c>
      <c r="D27" s="12">
        <f>COUNTIFS(Matriz!$G$2:$G$95,$A27,Matriz!$L$2:$L$95,"En diseño")</f>
        <v/>
      </c>
      <c r="E27" s="12">
        <f>COUNTIFS(Matriz!$G$2:$G$95,$A27,Matriz!$L$2:$L$95,"En desarrollo")</f>
        <v/>
      </c>
      <c r="F27" s="12">
        <f>COUNTIFS(Matriz!$G$2:$G$95,$A27,Matriz!$L$2:$L$95,"En pruebas")</f>
        <v/>
      </c>
      <c r="G27" s="12">
        <f>COUNTIFS(Matriz!$G$2:$G$95,$A27,Matriz!$L$2:$L$95,"Hecho")</f>
        <v/>
      </c>
      <c r="H27" s="12">
        <f>COUNTIFS(Matriz!$G$2:$G$95,$A27,Matriz!$L$2:$L$95,"Bloqueado")</f>
        <v/>
      </c>
      <c r="I27" s="13">
        <f>IF(B27=0,0,G27/B27)</f>
        <v/>
      </c>
    </row>
    <row r="28">
      <c r="A28" s="11" t="inlineStr">
        <is>
          <t>Sprint 4</t>
        </is>
      </c>
      <c r="B28" s="12">
        <f>COUNTIF(Matriz!$G$2:$G$95,$A28)</f>
        <v/>
      </c>
      <c r="C28" s="12">
        <f>COUNTIFS(Matriz!$G$2:$G$95,$A28,Matriz!$L$2:$L$95,"Pendiente")</f>
        <v/>
      </c>
      <c r="D28" s="12">
        <f>COUNTIFS(Matriz!$G$2:$G$95,$A28,Matriz!$L$2:$L$95,"En diseño")</f>
        <v/>
      </c>
      <c r="E28" s="12">
        <f>COUNTIFS(Matriz!$G$2:$G$95,$A28,Matriz!$L$2:$L$95,"En desarrollo")</f>
        <v/>
      </c>
      <c r="F28" s="12">
        <f>COUNTIFS(Matriz!$G$2:$G$95,$A28,Matriz!$L$2:$L$95,"En pruebas")</f>
        <v/>
      </c>
      <c r="G28" s="12">
        <f>COUNTIFS(Matriz!$G$2:$G$95,$A28,Matriz!$L$2:$L$95,"Hecho")</f>
        <v/>
      </c>
      <c r="H28" s="12">
        <f>COUNTIFS(Matriz!$G$2:$G$95,$A28,Matriz!$L$2:$L$95,"Bloqueado")</f>
        <v/>
      </c>
      <c r="I28" s="13">
        <f>IF(B28=0,0,G28/B28)</f>
        <v/>
      </c>
    </row>
    <row r="29">
      <c r="A29" s="11" t="inlineStr">
        <is>
          <t>Sprint 5</t>
        </is>
      </c>
      <c r="B29" s="12">
        <f>COUNTIF(Matriz!$G$2:$G$95,$A29)</f>
        <v/>
      </c>
      <c r="C29" s="12">
        <f>COUNTIFS(Matriz!$G$2:$G$95,$A29,Matriz!$L$2:$L$95,"Pendiente")</f>
        <v/>
      </c>
      <c r="D29" s="12">
        <f>COUNTIFS(Matriz!$G$2:$G$95,$A29,Matriz!$L$2:$L$95,"En diseño")</f>
        <v/>
      </c>
      <c r="E29" s="12">
        <f>COUNTIFS(Matriz!$G$2:$G$95,$A29,Matriz!$L$2:$L$95,"En desarrollo")</f>
        <v/>
      </c>
      <c r="F29" s="12">
        <f>COUNTIFS(Matriz!$G$2:$G$95,$A29,Matriz!$L$2:$L$95,"En pruebas")</f>
        <v/>
      </c>
      <c r="G29" s="12">
        <f>COUNTIFS(Matriz!$G$2:$G$95,$A29,Matriz!$L$2:$L$95,"Hecho")</f>
        <v/>
      </c>
      <c r="H29" s="12">
        <f>COUNTIFS(Matriz!$G$2:$G$95,$A29,Matriz!$L$2:$L$95,"Bloqueado")</f>
        <v/>
      </c>
      <c r="I29" s="13">
        <f>IF(B29=0,0,G29/B29)</f>
        <v/>
      </c>
    </row>
    <row r="30">
      <c r="A30" s="11" t="inlineStr">
        <is>
          <t>—</t>
        </is>
      </c>
      <c r="B30" s="12">
        <f>COUNTIF(Matriz!$G$2:$G$95,$A30)</f>
        <v/>
      </c>
      <c r="C30" s="12">
        <f>COUNTIFS(Matriz!$G$2:$G$95,$A30,Matriz!$L$2:$L$95,"Pendiente")</f>
        <v/>
      </c>
      <c r="D30" s="12">
        <f>COUNTIFS(Matriz!$G$2:$G$95,$A30,Matriz!$L$2:$L$95,"En diseño")</f>
        <v/>
      </c>
      <c r="E30" s="12">
        <f>COUNTIFS(Matriz!$G$2:$G$95,$A30,Matriz!$L$2:$L$95,"En desarrollo")</f>
        <v/>
      </c>
      <c r="F30" s="12">
        <f>COUNTIFS(Matriz!$G$2:$G$95,$A30,Matriz!$L$2:$L$95,"En pruebas")</f>
        <v/>
      </c>
      <c r="G30" s="12">
        <f>COUNTIFS(Matriz!$G$2:$G$95,$A30,Matriz!$L$2:$L$95,"Hecho")</f>
        <v/>
      </c>
      <c r="H30" s="12">
        <f>COUNTIFS(Matriz!$G$2:$G$95,$A30,Matriz!$L$2:$L$95,"Bloqueado")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COUNTIF(Matriz!$K$2:$K$95,A35)</f>
        <v/>
      </c>
    </row>
    <row r="36">
      <c r="A36" s="11" t="inlineStr">
        <is>
          <t>Aprobado</t>
        </is>
      </c>
      <c r="B36" s="12">
        <f>COUNTIF(Matriz!$K$2:$K$95,A36)</f>
        <v/>
      </c>
    </row>
    <row r="37">
      <c r="A37" s="11" t="inlineStr">
        <is>
          <t>Por definir</t>
        </is>
      </c>
      <c r="B37" s="12">
        <f>COUNTIF(Matriz!$K$2:$K$95,A37)</f>
        <v/>
      </c>
    </row>
    <row r="38">
      <c r="A38" s="11" t="inlineStr">
        <is>
          <t>Rechazado</t>
        </is>
      </c>
      <c r="B38" s="12">
        <f>COUNTIF(Matriz!$K$2:$K$95,A38)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desarrollo</t>
        </is>
      </c>
      <c r="M17" s="19" t="inlineStr">
        <is>
          <t>Rama feature/m1-07-roles · 67 pruebas de backend y 6 de frontend pasan</t>
        </is>
      </c>
      <c r="N17" s="19" t="inlineStr">
        <is>
          <t>2026-10-10 · Permisos por rol listos; el alcance por grupo/área llega con el módulo de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Pendiente</t>
        </is>
      </c>
      <c r="M18" s="19" t="inlineStr"/>
      <c r="N18" s="19" t="inlineStr"/>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desarrollo</t>
        </is>
      </c>
      <c r="M24" s="19" t="inlineStr">
        <is>
          <t>Rama feature/m1-07-roles · 67 pruebas de backend y 6 de frontend pasan</t>
        </is>
      </c>
      <c r="N24" s="19" t="inlineStr">
        <is>
          <t>2026-10-05 · Consultas y cambios de personas ya quedan en bitácora; falta restringir por rol (RBAC).</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construidos con un componente genérico reutilizable. En el MVP: Grupos de Conexión y vista general de Fase 0.</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Pendiente</t>
        </is>
      </c>
      <c r="M27" s="19" t="inlineStr"/>
      <c r="N27" s="19" t="inlineStr"/>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Pendiente</t>
        </is>
      </c>
      <c r="M48" s="19" t="inlineStr"/>
      <c r="N48" s="19" t="inlineStr"/>
    </row>
    <row r="49">
      <c r="A49" s="18" t="inlineStr">
        <is>
          <t>M3-02</t>
        </is>
      </c>
      <c r="B49" s="19" t="inlineStr">
        <is>
          <t>M3 Grupos de Conexión</t>
        </is>
      </c>
      <c r="C49" s="19" t="inlineStr">
        <is>
          <t>Distribución del estudio semanal dentro de la app, sustituyendo el envío por WhatsApp.</t>
        </is>
      </c>
      <c r="D49" s="19" t="inlineStr">
        <is>
          <t>v3</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Pendiente</t>
        </is>
      </c>
      <c r="M49" s="19" t="inlineStr"/>
      <c r="N49" s="19" t="inlineStr"/>
    </row>
    <row r="50">
      <c r="A50" s="18" t="inlineStr">
        <is>
          <t>M3-03</t>
        </is>
      </c>
      <c r="B50" s="19" t="inlineStr">
        <is>
          <t>M3 Grupos de Conexión</t>
        </is>
      </c>
      <c r="C50" s="19" t="inlineStr">
        <is>
          <t>Pase de lista digital por Secretario o Líder, con captura sin conexión y sincronización posterior.</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Pendiente</t>
        </is>
      </c>
      <c r="M50" s="19" t="inlineStr"/>
      <c r="N50" s="19" t="inlineStr"/>
    </row>
    <row r="51">
      <c r="A51" s="18" t="inlineStr">
        <is>
          <t>M3-04</t>
        </is>
      </c>
      <c r="B51" s="19" t="inlineStr">
        <is>
          <t>M3 Grupos de Conexión</t>
        </is>
      </c>
      <c r="C51" s="19" t="inlineStr">
        <is>
          <t>Ofrendas regulares y especiales. El Tesorero cuenta y avala la cifra con firma electrónica simple (usuario, fecha y hora, monto y reingreso de su PIN). Si su cifra difiere de la capturada, se registra la diferencia.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Pendiente</t>
        </is>
      </c>
      <c r="M51" s="19" t="inlineStr"/>
      <c r="N51" s="19" t="inlineStr"/>
    </row>
    <row r="52">
      <c r="A52" s="18" t="inlineStr">
        <is>
          <t>M3-05</t>
        </is>
      </c>
      <c r="B52" s="19" t="inlineStr">
        <is>
          <t>M3 Grupos de Conexión</t>
        </is>
      </c>
      <c r="C52" s="19" t="inlineStr">
        <is>
          <t>Formulario dinámico de peticiones de oración, con seguimiento pastoral.</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Pendiente</t>
        </is>
      </c>
      <c r="M52" s="19" t="inlineStr"/>
      <c r="N52" s="19" t="inlineStr"/>
    </row>
    <row r="53">
      <c r="A53" s="18" t="inlineStr">
        <is>
          <t>M3-06</t>
        </is>
      </c>
      <c r="B53" s="19" t="inlineStr">
        <is>
          <t>M3 Grupos de Conexión</t>
        </is>
      </c>
      <c r="C53" s="19" t="inlineStr">
        <is>
          <t>Peticiones de oración visibles solo para Líder y roles superiores. Retención de 1 mes o tiempo configurable, con borrado automático.</t>
        </is>
      </c>
      <c r="D53" s="21" t="inlineStr">
        <is>
          <t>Resp. P8</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Pendiente</t>
        </is>
      </c>
      <c r="M53" s="19" t="inlineStr"/>
      <c r="N53" s="19" t="inlineStr"/>
    </row>
    <row r="54">
      <c r="A54" s="18" t="inlineStr">
        <is>
          <t>M3-07</t>
        </is>
      </c>
      <c r="B54" s="19" t="inlineStr">
        <is>
          <t>M3 Grupos de Conexión</t>
        </is>
      </c>
      <c r="C54" s="19" t="inlineStr">
        <is>
          <t>Reportes de supervisión: dashboards de asistencia, ofrendas y crecimiento por grupo, según permisos.</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Pendiente</t>
        </is>
      </c>
      <c r="M54" s="19" t="inlineStr"/>
      <c r="N54" s="19" t="inlineStr"/>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Pendiente</t>
        </is>
      </c>
      <c r="M56" s="19" t="inlineStr"/>
      <c r="N56" s="19" t="inlineStr"/>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Dashboard y tablero de mensajes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Pendiente</t>
        </is>
      </c>
      <c r="M58" s="19" t="inlineStr"/>
      <c r="N58" s="19" t="inlineStr"/>
    </row>
    <row r="59">
      <c r="A59" s="18" t="inlineStr">
        <is>
          <t>M4-01</t>
        </is>
      </c>
      <c r="B59" s="19" t="inlineStr">
        <is>
          <t>M4 Kids Check-In/Out</t>
        </is>
      </c>
      <c r="C59" s="19" t="inlineStr">
        <is>
          <t>Sustitución de la ficha física de papel.</t>
        </is>
      </c>
      <c r="D59" s="19" t="inlineStr">
        <is>
          <t>v1 / v2</t>
        </is>
      </c>
      <c r="E59" s="19" t="inlineStr">
        <is>
          <t>Fuera del MVP</t>
        </is>
      </c>
      <c r="F59" s="19" t="inlineStr">
        <is>
          <t>Fase 2</t>
        </is>
      </c>
      <c r="G59" s="19" t="inlineStr">
        <is>
          <t>—</t>
        </is>
      </c>
      <c r="H59" s="19" t="inlineStr">
        <is>
          <t>Posterior</t>
        </is>
      </c>
      <c r="I59" s="20" t="inlineStr">
        <is>
          <t>Se define al iniciar la fase.</t>
        </is>
      </c>
      <c r="J59" s="20" t="inlineStr">
        <is>
          <t>Se define al iniciar la fase.</t>
        </is>
      </c>
      <c r="K59" s="19" t="inlineStr">
        <is>
          <t>VoBo pendiente</t>
        </is>
      </c>
      <c r="L59" s="19" t="inlineStr">
        <is>
          <t>Pendiente</t>
        </is>
      </c>
      <c r="M59" s="19" t="inlineStr"/>
      <c r="N59" s="19" t="inlineStr"/>
    </row>
    <row r="60">
      <c r="A60" s="18" t="inlineStr">
        <is>
          <t>M4-02</t>
        </is>
      </c>
      <c r="B60" s="19" t="inlineStr">
        <is>
          <t>M4 Kids Check-In/Out</t>
        </is>
      </c>
      <c r="C60" s="19" t="inlineStr">
        <is>
          <t>Registro de ingreso del menor con salón o clase asignada y generación de código único.</t>
        </is>
      </c>
      <c r="D60" s="21" t="inlineStr">
        <is>
          <t>v1 + Nuevo v3</t>
        </is>
      </c>
      <c r="E60" s="19" t="inlineStr">
        <is>
          <t>Fuera del MVP</t>
        </is>
      </c>
      <c r="F60" s="19" t="inlineStr">
        <is>
          <t>Fase 2</t>
        </is>
      </c>
      <c r="G60" s="19" t="inlineStr">
        <is>
          <t>—</t>
        </is>
      </c>
      <c r="H60" s="19" t="inlineStr">
        <is>
          <t>Posterior</t>
        </is>
      </c>
      <c r="I60" s="20" t="inlineStr">
        <is>
          <t>Se define al iniciar la fase.</t>
        </is>
      </c>
      <c r="J60" s="20" t="inlineStr">
        <is>
          <t>Se define al iniciar la fase.</t>
        </is>
      </c>
      <c r="K60" s="19" t="inlineStr">
        <is>
          <t>VoBo pendiente</t>
        </is>
      </c>
      <c r="L60" s="19" t="inlineStr">
        <is>
          <t>Pendiente</t>
        </is>
      </c>
      <c r="M60" s="19" t="inlineStr"/>
      <c r="N60" s="19" t="inlineStr"/>
    </row>
    <row r="61">
      <c r="A61" s="18" t="inlineStr">
        <is>
          <t>M4-03</t>
        </is>
      </c>
      <c r="B61" s="19" t="inlineStr">
        <is>
          <t>M4 Kids Check-In/Out</t>
        </is>
      </c>
      <c r="C61" s="19" t="inlineStr">
        <is>
          <t>Código QR dinámico o OTP temporal en la PWA del padre o tutor.</t>
        </is>
      </c>
      <c r="D61" s="19" t="inlineStr">
        <is>
          <t>v2</t>
        </is>
      </c>
      <c r="E61" s="19" t="inlineStr">
        <is>
          <t>Fuera del MVP</t>
        </is>
      </c>
      <c r="F61" s="19" t="inlineStr">
        <is>
          <t>Fase 2</t>
        </is>
      </c>
      <c r="G61" s="19" t="inlineStr">
        <is>
          <t>—</t>
        </is>
      </c>
      <c r="H61" s="19" t="inlineStr">
        <is>
          <t>Posterior</t>
        </is>
      </c>
      <c r="I61" s="20" t="inlineStr">
        <is>
          <t>Se define al iniciar la fase.</t>
        </is>
      </c>
      <c r="J61" s="20" t="inlineStr">
        <is>
          <t>Se define al iniciar la fase.</t>
        </is>
      </c>
      <c r="K61" s="19" t="inlineStr">
        <is>
          <t>VoBo pendiente</t>
        </is>
      </c>
      <c r="L61" s="19" t="inlineStr">
        <is>
          <t>Pendiente</t>
        </is>
      </c>
      <c r="M61" s="19" t="inlineStr"/>
      <c r="N61" s="19" t="inlineStr"/>
    </row>
    <row r="62">
      <c r="A62" s="18" t="inlineStr">
        <is>
          <t>M4-04</t>
        </is>
      </c>
      <c r="B62" s="19" t="inlineStr">
        <is>
          <t>M4 Kids Check-In/Out</t>
        </is>
      </c>
      <c r="C62" s="19" t="inlineStr">
        <is>
          <t>Validación al entregar: el servidor de Kids escanea el código y confirma identidad y fotografía del tutor autorizado en el Expediente Digital.</t>
        </is>
      </c>
      <c r="D62" s="19" t="inlineStr">
        <is>
          <t>v2</t>
        </is>
      </c>
      <c r="E62" s="19" t="inlineStr">
        <is>
          <t>Fuera del MVP</t>
        </is>
      </c>
      <c r="F62" s="19" t="inlineStr">
        <is>
          <t>Fase 2</t>
        </is>
      </c>
      <c r="G62" s="19" t="inlineStr">
        <is>
          <t>—</t>
        </is>
      </c>
      <c r="H62" s="19" t="inlineStr">
        <is>
          <t>Posterior</t>
        </is>
      </c>
      <c r="I62" s="20" t="inlineStr">
        <is>
          <t>Se define al iniciar la fase.</t>
        </is>
      </c>
      <c r="J62" s="20" t="inlineStr">
        <is>
          <t>Se define al iniciar la fase.</t>
        </is>
      </c>
      <c r="K62" s="19" t="inlineStr">
        <is>
          <t>VoBo pendiente</t>
        </is>
      </c>
      <c r="L62" s="19" t="inlineStr">
        <is>
          <t>Pendiente</t>
        </is>
      </c>
      <c r="M62" s="19" t="inlineStr"/>
      <c r="N62" s="19" t="inlineStr"/>
    </row>
    <row r="63">
      <c r="A63" s="18" t="inlineStr">
        <is>
          <t>M4-05</t>
        </is>
      </c>
      <c r="B63" s="19" t="inlineStr">
        <is>
          <t>M4 Kids Check-In/Out</t>
        </is>
      </c>
      <c r="C63" s="19" t="inlineStr">
        <is>
          <t>Alternativa para tutores sin smartphone, sin batería o sin conexión (p. ej. código por SMS o comprobante imprimible con identificación). Por definir.</t>
        </is>
      </c>
      <c r="D63" s="21" t="inlineStr">
        <is>
          <t>Nuevo v3</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Por definir</t>
        </is>
      </c>
      <c r="L63" s="19" t="inlineStr">
        <is>
          <t>Pendiente</t>
        </is>
      </c>
      <c r="M63" s="19" t="inlineStr"/>
      <c r="N63" s="19" t="inlineStr"/>
    </row>
    <row r="64">
      <c r="A64" s="18" t="inlineStr">
        <is>
          <t>M4-06</t>
        </is>
      </c>
      <c r="B64" s="19" t="inlineStr">
        <is>
          <t>M4 Kids Check-In/Out</t>
        </is>
      </c>
      <c r="C64" s="19" t="inlineStr">
        <is>
          <t>Autorización temporal de un tercero para recoger al menor, con aprobación del tutor registrado.</t>
        </is>
      </c>
      <c r="D64" s="21" t="inlineStr">
        <is>
          <t>Nuevo v3</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M4-07</t>
        </is>
      </c>
      <c r="B65" s="19" t="inlineStr">
        <is>
          <t>M4 Kids Check-In/Out</t>
        </is>
      </c>
      <c r="C65" s="19" t="inlineStr">
        <is>
          <t>Caducidad del código y bitácora de cada entrega (quién recogió, quién entregó, hora).</t>
        </is>
      </c>
      <c r="D65" s="21" t="inlineStr">
        <is>
          <t>Nuevo v3</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M4-08</t>
        </is>
      </c>
      <c r="B66" s="19" t="inlineStr">
        <is>
          <t>M4 Kids Check-In/Out</t>
        </is>
      </c>
      <c r="C66" s="19" t="inlineStr">
        <is>
          <t>Funcionamiento sin conexión o con conexión degradada para el check-out.</t>
        </is>
      </c>
      <c r="D66" s="21" t="inlineStr">
        <is>
          <t>Nuevo v3</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M5-01</t>
        </is>
      </c>
      <c r="B67" s="19" t="inlineStr">
        <is>
          <t>M5 Áreas y servidores</t>
        </is>
      </c>
      <c r="C67" s="19" t="inlineStr">
        <is>
          <t>Catálogo mínimo de áreas y asignación de servidores. Versión reducida del módulo 5, necesaria para permisos por área. Sirve como primer censo.</t>
        </is>
      </c>
      <c r="D67" s="19" t="inlineStr">
        <is>
          <t>v3</t>
        </is>
      </c>
      <c r="E67" s="19" t="inlineStr">
        <is>
          <t>MVP mínimo</t>
        </is>
      </c>
      <c r="F67" s="19" t="inlineStr">
        <is>
          <t>Fase 0</t>
        </is>
      </c>
      <c r="G67" s="19" t="inlineStr">
        <is>
          <t>Sprint 1</t>
        </is>
      </c>
      <c r="H67" s="19" t="inlineStr">
        <is>
          <t>H2 · Fase 0 completa</t>
        </is>
      </c>
      <c r="I67" s="19" t="inlineStr">
        <is>
          <t>Como pastor quiero un catálogo de áreas con su personal para conocer la estructura.</t>
        </is>
      </c>
      <c r="J67" s="19" t="inlineStr">
        <is>
          <t>Crear un área, asignar servidores y ver el conteo real.</t>
        </is>
      </c>
      <c r="K67" s="19" t="inlineStr">
        <is>
          <t>VoBo pendiente</t>
        </is>
      </c>
      <c r="L67" s="19" t="inlineStr">
        <is>
          <t>Pendiente</t>
        </is>
      </c>
      <c r="M67" s="19" t="inlineStr"/>
      <c r="N67" s="19" t="inlineStr"/>
    </row>
    <row r="68">
      <c r="A68" s="18" t="inlineStr">
        <is>
          <t>M5-02</t>
        </is>
      </c>
      <c r="B68" s="19" t="inlineStr">
        <is>
          <t>M5 Áreas y servidores</t>
        </is>
      </c>
      <c r="C68" s="19" t="inlineStr">
        <is>
          <t>Roles jerárquicos dentro de cada área (directores, líderes, maestros, servidores).</t>
        </is>
      </c>
      <c r="D68" s="19" t="inlineStr">
        <is>
          <t>v1</t>
        </is>
      </c>
      <c r="E68" s="19" t="inlineStr">
        <is>
          <t>Fuera del MVP</t>
        </is>
      </c>
      <c r="F68" s="19" t="inlineStr">
        <is>
          <t>Fase 4</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M5-03</t>
        </is>
      </c>
      <c r="B69" s="19" t="inlineStr">
        <is>
          <t>M5 Áreas y servidores</t>
        </is>
      </c>
      <c r="C69" s="19" t="inlineStr">
        <is>
          <t>Organigrama y número real de servidores activos, directores y líderes por área.</t>
        </is>
      </c>
      <c r="D69" s="19" t="inlineStr">
        <is>
          <t>v2</t>
        </is>
      </c>
      <c r="E69" s="19" t="inlineStr">
        <is>
          <t>Fuera del MVP</t>
        </is>
      </c>
      <c r="F69" s="19" t="inlineStr">
        <is>
          <t>Fase 4</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M5-04</t>
        </is>
      </c>
      <c r="B70" s="19" t="inlineStr">
        <is>
          <t>M5 Áreas y servidores</t>
        </is>
      </c>
      <c r="C70" s="19" t="inlineStr">
        <is>
          <t>Control de asistencia a turnos o servicios.</t>
        </is>
      </c>
      <c r="D70" s="19" t="inlineStr">
        <is>
          <t>v1 / v2</t>
        </is>
      </c>
      <c r="E70" s="19" t="inlineStr">
        <is>
          <t>Fuera del MVP</t>
        </is>
      </c>
      <c r="F70" s="19" t="inlineStr">
        <is>
          <t>Fase 4</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M5-05</t>
        </is>
      </c>
      <c r="B71" s="19" t="inlineStr">
        <is>
          <t>M5 Áreas y servidores</t>
        </is>
      </c>
      <c r="C71" s="19" t="inlineStr">
        <is>
          <t>Tablero de avisos y notificaciones interno por área.</t>
        </is>
      </c>
      <c r="D71" s="19" t="inlineStr">
        <is>
          <t>v1 / v2</t>
        </is>
      </c>
      <c r="E71" s="19" t="inlineStr">
        <is>
          <t>Fuera del MVP</t>
        </is>
      </c>
      <c r="F71" s="19" t="inlineStr">
        <is>
          <t>Fase 4</t>
        </is>
      </c>
      <c r="G71" s="19" t="inlineStr">
        <is>
          <t>—</t>
        </is>
      </c>
      <c r="H71" s="19" t="inlineStr">
        <is>
          <t>Posterior</t>
        </is>
      </c>
      <c r="I71" s="20" t="inlineStr">
        <is>
          <t>Se define al iniciar la fase.</t>
        </is>
      </c>
      <c r="J71" s="20" t="inlineStr">
        <is>
          <t>Se define al iniciar la fase.</t>
        </is>
      </c>
      <c r="K71" s="19" t="inlineStr">
        <is>
          <t>VoBo pendiente</t>
        </is>
      </c>
      <c r="L71" s="19" t="inlineStr">
        <is>
          <t>Pendiente</t>
        </is>
      </c>
      <c r="M71" s="19" t="inlineStr"/>
      <c r="N71" s="19" t="inlineStr"/>
    </row>
    <row r="72">
      <c r="A72" s="18" t="inlineStr">
        <is>
          <t>M5-06</t>
        </is>
      </c>
      <c r="B72" s="19" t="inlineStr">
        <is>
          <t>M5 Áreas y servidores</t>
        </is>
      </c>
      <c r="C72" s="19" t="inlineStr">
        <is>
          <t>Gestión financiera por área: caja chica y gastos operativos.</t>
        </is>
      </c>
      <c r="D72" s="19" t="inlineStr">
        <is>
          <t>v1 / v2</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M6-01</t>
        </is>
      </c>
      <c r="B73" s="19" t="inlineStr">
        <is>
          <t>M6 Ministerios de servicio</t>
        </is>
      </c>
      <c r="C73" s="19" t="inlineStr">
        <is>
          <t>Control de personal propio de cada ministerio.</t>
        </is>
      </c>
      <c r="D73" s="22" t="inlineStr">
        <is>
          <t>Recuperado v1</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M6-02</t>
        </is>
      </c>
      <c r="B74" s="19" t="inlineStr">
        <is>
          <t>M6 Ministerios de servicio</t>
        </is>
      </c>
      <c r="C74" s="19" t="inlineStr">
        <is>
          <t>Menú o catálogo digital interactivo (público o interno), autogestionado.</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M6-03</t>
        </is>
      </c>
      <c r="B75" s="19" t="inlineStr">
        <is>
          <t>M6 Ministerios de servicio</t>
        </is>
      </c>
      <c r="C75" s="19" t="inlineStr">
        <is>
          <t>Calendario de turnos: días regulares de servicio y eventos especiales.</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M6-04</t>
        </is>
      </c>
      <c r="B76" s="19" t="inlineStr">
        <is>
          <t>M6 Ministerios de servicio</t>
        </is>
      </c>
      <c r="C76" s="19" t="inlineStr">
        <is>
          <t>Registro de asistentes o personas atendidas.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M6-05</t>
        </is>
      </c>
      <c r="B77" s="19" t="inlineStr">
        <is>
          <t>M6 Ministerios de servicio</t>
        </is>
      </c>
      <c r="C77" s="19" t="inlineStr">
        <is>
          <t>Control de gastos y de inventario básico.</t>
        </is>
      </c>
      <c r="D77" s="19" t="inlineStr">
        <is>
          <t>v1 / v2</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M6-06</t>
        </is>
      </c>
      <c r="B78" s="19" t="inlineStr">
        <is>
          <t>M6 Ministerios de servicio</t>
        </is>
      </c>
      <c r="C78" s="19" t="inlineStr">
        <is>
          <t>Canal de comunicación directo con el área de Administración General.</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M6-07</t>
        </is>
      </c>
      <c r="B79" s="19" t="inlineStr">
        <is>
          <t>M6 Ministerios de servicio</t>
        </is>
      </c>
      <c r="C79" s="19" t="inlineStr">
        <is>
          <t>Servicio Médico: los datos de salud de las personas atendidas requieren tratamiento de datos sensibles. Por definir alcance.</t>
        </is>
      </c>
      <c r="D79" s="21" t="inlineStr">
        <is>
          <t>Nuevo v3</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Por definir</t>
        </is>
      </c>
      <c r="L79" s="19" t="inlineStr">
        <is>
          <t>Pendiente</t>
        </is>
      </c>
      <c r="M79" s="19" t="inlineStr"/>
      <c r="N79" s="19" t="inlineStr"/>
    </row>
    <row r="80">
      <c r="A80" s="18" t="inlineStr">
        <is>
          <t>M7-01</t>
        </is>
      </c>
      <c r="B80" s="19" t="inlineStr">
        <is>
          <t>M7 Eventos y aforo</t>
        </is>
      </c>
      <c r="C80" s="19" t="inlineStr">
        <is>
          <t>Eventos abiertos o evangelísticos con formulario de inscripción rápida, sin requerir historial previo.</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M7-02</t>
        </is>
      </c>
      <c r="B81" s="19" t="inlineStr">
        <is>
          <t>M7 Eventos y aforo</t>
        </is>
      </c>
      <c r="C81" s="19" t="inlineStr">
        <is>
          <t>Consolidación (inducción de personas que asisten por primera vez) como tipo de evento.</t>
        </is>
      </c>
      <c r="D81" s="22" t="inlineStr">
        <is>
          <t>Recuperado v1</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M7-03</t>
        </is>
      </c>
      <c r="B82" s="19" t="inlineStr">
        <is>
          <t>M7 Eventos y aforo</t>
        </is>
      </c>
      <c r="C82" s="19" t="inlineStr">
        <is>
          <t>Encargados de evento (personal de la iglesia únicamente; no se controla personal externo).</t>
        </is>
      </c>
      <c r="D82" s="22" t="inlineStr">
        <is>
          <t>Recuperado v1</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M7-04</t>
        </is>
      </c>
      <c r="B83" s="19" t="inlineStr">
        <is>
          <t>M7 Eventos y aforo</t>
        </is>
      </c>
      <c r="C83" s="19" t="inlineStr">
        <is>
          <t>Control de cupo en tiempo real que bloquea el sobrecupo en eventos con aforo limitado (ej. 30 o 50 lugares).</t>
        </is>
      </c>
      <c r="D83" s="19" t="inlineStr">
        <is>
          <t>v1 / v2</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VoBo pendiente</t>
        </is>
      </c>
      <c r="L83" s="19" t="inlineStr">
        <is>
          <t>Pendiente</t>
        </is>
      </c>
      <c r="M83" s="19" t="inlineStr"/>
      <c r="N83" s="19" t="inlineStr"/>
    </row>
    <row r="84">
      <c r="A84" s="18" t="inlineStr">
        <is>
          <t>M7-05</t>
        </is>
      </c>
      <c r="B84" s="19" t="inlineStr">
        <is>
          <t>M7 Eventos y aforo</t>
        </is>
      </c>
      <c r="C84" s="19" t="inlineStr">
        <is>
          <t>Control de asistentes sin lista previa, para aforo y para dar a conocer la iglesia.</t>
        </is>
      </c>
      <c r="D84" s="19" t="inlineStr">
        <is>
          <t>v1</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M7-06</t>
        </is>
      </c>
      <c r="B85" s="19" t="inlineStr">
        <is>
          <t>M7 Eventos y aforo</t>
        </is>
      </c>
      <c r="C85" s="19" t="inlineStr">
        <is>
          <t>Seguimiento de personas nuevas: conversión de un invitado a Expediente Digital y canalización a un curso o Grupo de Conexión.</t>
        </is>
      </c>
      <c r="D85" s="21" t="inlineStr">
        <is>
          <t>Nuevo v3</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NF-01</t>
        </is>
      </c>
      <c r="B86" s="19" t="inlineStr">
        <is>
          <t>No funcionales</t>
        </is>
      </c>
      <c r="C86" s="19" t="inlineStr">
        <is>
          <t>Cumplimiento de la LFPDPPP: aviso de privacidad, consentimiento y derechos ARCO.</t>
        </is>
      </c>
      <c r="D86" s="19" t="inlineStr">
        <is>
          <t>v3</t>
        </is>
      </c>
      <c r="E86" s="19" t="inlineStr">
        <is>
          <t>MVP</t>
        </is>
      </c>
      <c r="F86" s="19" t="inlineStr">
        <is>
          <t>Fase 0</t>
        </is>
      </c>
      <c r="G86" s="19" t="inlineStr">
        <is>
          <t>Sprint 1</t>
        </is>
      </c>
      <c r="H86" s="19" t="inlineStr">
        <is>
          <t>H1 · 18-oct (núcleo Fase 0)</t>
        </is>
      </c>
      <c r="I86" s="19" t="inlineStr">
        <is>
          <t>Como iglesia queremos cumplir con la LFPDPPP.</t>
        </is>
      </c>
      <c r="J86" s="19" t="inlineStr">
        <is>
          <t>Aviso de privacidad, consentimiento y atención de derechos ARCO disponibles.</t>
        </is>
      </c>
      <c r="K86" s="19" t="inlineStr">
        <is>
          <t>VoBo pendiente</t>
        </is>
      </c>
      <c r="L86" s="19" t="inlineStr">
        <is>
          <t>Pendiente</t>
        </is>
      </c>
      <c r="M86" s="19" t="inlineStr"/>
      <c r="N86" s="19" t="inlineStr"/>
    </row>
    <row r="87">
      <c r="A87" s="18" t="inlineStr">
        <is>
          <t>NF-02</t>
        </is>
      </c>
      <c r="B87" s="19" t="inlineStr">
        <is>
          <t>No funcionales</t>
        </is>
      </c>
      <c r="C87" s="19" t="inlineStr">
        <is>
          <t>Cifrado en tránsito y en reposo. Cifrado adicional a nivel de campo para peticiones de oración.</t>
        </is>
      </c>
      <c r="D87" s="19" t="inlineStr">
        <is>
          <t>v3</t>
        </is>
      </c>
      <c r="E87" s="19" t="inlineStr">
        <is>
          <t>MVP</t>
        </is>
      </c>
      <c r="F87" s="19" t="inlineStr">
        <is>
          <t>Fase 0</t>
        </is>
      </c>
      <c r="G87" s="19" t="inlineStr">
        <is>
          <t>Sprint 0</t>
        </is>
      </c>
      <c r="H87" s="19" t="inlineStr">
        <is>
          <t>H1 · 18-oct (núcleo Fase 0)</t>
        </is>
      </c>
      <c r="I87" s="19" t="inlineStr">
        <is>
          <t>Como iglesia queremos proteger los datos sensibles.</t>
        </is>
      </c>
      <c r="J87" s="19" t="inlineStr">
        <is>
          <t>HTTPS obligatorio y peticiones de oración ilegibles directamente en la base.</t>
        </is>
      </c>
      <c r="K87" s="19" t="inlineStr">
        <is>
          <t>VoBo pendiente</t>
        </is>
      </c>
      <c r="L87" s="19" t="inlineStr">
        <is>
          <t>Pendiente</t>
        </is>
      </c>
      <c r="M87" s="19" t="inlineStr"/>
      <c r="N87" s="19" t="inlineStr"/>
    </row>
    <row r="88">
      <c r="A88" s="18" t="inlineStr">
        <is>
          <t>NF-03</t>
        </is>
      </c>
      <c r="B88" s="19" t="inlineStr">
        <is>
          <t>No funcionales</t>
        </is>
      </c>
      <c r="C88" s="19" t="inlineStr">
        <is>
          <t>Bitácora de auditoría de solo-añadir: quién consultó o modificó expedientes, ofrendas y asistencias.</t>
        </is>
      </c>
      <c r="D88" s="19" t="inlineStr">
        <is>
          <t>v3</t>
        </is>
      </c>
      <c r="E88" s="19" t="inlineStr">
        <is>
          <t>MVP</t>
        </is>
      </c>
      <c r="F88" s="19" t="inlineStr">
        <is>
          <t>Fase 0</t>
        </is>
      </c>
      <c r="G88" s="19" t="inlineStr">
        <is>
          <t>Sprint 1</t>
        </is>
      </c>
      <c r="H88" s="19" t="inlineStr">
        <is>
          <t>H1 · 18-oct (núcleo Fase 0)</t>
        </is>
      </c>
      <c r="I88" s="19" t="inlineStr">
        <is>
          <t>Como pastor quiero una bitácora que nadie pueda alterar.</t>
        </is>
      </c>
      <c r="J88" s="19" t="inlineStr">
        <is>
          <t>El usuario de la aplicación no puede actualizar ni borrar registros de bitácora.</t>
        </is>
      </c>
      <c r="K88" s="19" t="inlineStr">
        <is>
          <t>VoBo pendiente</t>
        </is>
      </c>
      <c r="L88" s="19" t="inlineStr">
        <is>
          <t>En desarrollo</t>
        </is>
      </c>
      <c r="M88" s="19" t="inlineStr">
        <is>
          <t>Rama feature/m1-17-acceso · bitácora de solo-añadir a nivel de aplicación</t>
        </is>
      </c>
      <c r="N88" s="19" t="inlineStr">
        <is>
          <t>2026-10-05 · Falta reforzarla en la base de datos (permisos) en el Sprint 1.</t>
        </is>
      </c>
    </row>
    <row r="89">
      <c r="A89" s="18" t="inlineStr">
        <is>
          <t>NF-04</t>
        </is>
      </c>
      <c r="B89" s="19" t="inlineStr">
        <is>
          <t>No funcionales</t>
        </is>
      </c>
      <c r="C89" s="19" t="inlineStr">
        <is>
          <t>Respaldos automáticos diarios cifrados y prueba periódica de restauración.</t>
        </is>
      </c>
      <c r="D89" s="19" t="inlineStr">
        <is>
          <t>v3</t>
        </is>
      </c>
      <c r="E89" s="19" t="inlineStr">
        <is>
          <t>MVP</t>
        </is>
      </c>
      <c r="F89" s="19" t="inlineStr">
        <is>
          <t>Fase 0</t>
        </is>
      </c>
      <c r="G89" s="19" t="inlineStr">
        <is>
          <t>Sprint 0</t>
        </is>
      </c>
      <c r="H89" s="19" t="inlineStr">
        <is>
          <t>H1 · 18-oct (núcleo Fase 0)</t>
        </is>
      </c>
      <c r="I89" s="19" t="inlineStr">
        <is>
          <t>Como iglesia queremos no perder información.</t>
        </is>
      </c>
      <c r="J89" s="19" t="inlineStr">
        <is>
          <t>Respaldo diario cifrado y restauración probada en un ambiente de pruebas.</t>
        </is>
      </c>
      <c r="K89" s="19" t="inlineStr">
        <is>
          <t>VoBo pendiente</t>
        </is>
      </c>
      <c r="L89" s="19" t="inlineStr">
        <is>
          <t>Pendiente</t>
        </is>
      </c>
      <c r="M89" s="19" t="inlineStr"/>
      <c r="N89" s="19" t="inlineStr"/>
    </row>
    <row r="90">
      <c r="A90" s="18" t="inlineStr">
        <is>
          <t>NF-05</t>
        </is>
      </c>
      <c r="B90" s="19" t="inlineStr">
        <is>
          <t>No funcionales</t>
        </is>
      </c>
      <c r="C90" s="19" t="inlineStr">
        <is>
          <t>Disponibilidad esperada en horarios de servicio (fines de semana y reuniones de grupo). Por definir meta.</t>
        </is>
      </c>
      <c r="D90" s="21" t="inlineStr">
        <is>
          <t>Nuevo v3</t>
        </is>
      </c>
      <c r="E90" s="19" t="inlineStr">
        <is>
          <t>Fuera del MVP</t>
        </is>
      </c>
      <c r="F90" s="19" t="inlineStr">
        <is>
          <t>Transversal</t>
        </is>
      </c>
      <c r="G90" s="19" t="inlineStr">
        <is>
          <t>—</t>
        </is>
      </c>
      <c r="H90" s="19" t="inlineStr">
        <is>
          <t>Posterior</t>
        </is>
      </c>
      <c r="I90" s="20" t="inlineStr">
        <is>
          <t>Se define al iniciar la fase.</t>
        </is>
      </c>
      <c r="J90" s="20" t="inlineStr">
        <is>
          <t>Se define al iniciar la fase.</t>
        </is>
      </c>
      <c r="K90" s="19" t="inlineStr">
        <is>
          <t>Por definir</t>
        </is>
      </c>
      <c r="L90" s="19" t="inlineStr">
        <is>
          <t>Pendiente</t>
        </is>
      </c>
      <c r="M90" s="19" t="inlineStr"/>
      <c r="N90" s="19" t="inlineStr"/>
    </row>
    <row r="91">
      <c r="A91" s="18" t="inlineStr">
        <is>
          <t>NF-06</t>
        </is>
      </c>
      <c r="B91" s="19" t="inlineStr">
        <is>
          <t>No funcionales</t>
        </is>
      </c>
      <c r="C91" s="19" t="inlineStr">
        <is>
          <t>Pase de lista sin conexión con sincronización posterior (reuniones en domicilios con mala señal).</t>
        </is>
      </c>
      <c r="D91" s="19" t="inlineStr">
        <is>
          <t>v3</t>
        </is>
      </c>
      <c r="E91" s="19" t="inlineStr">
        <is>
          <t>MVP</t>
        </is>
      </c>
      <c r="F91" s="19" t="inlineStr">
        <is>
          <t>Fase 0</t>
        </is>
      </c>
      <c r="G91" s="19" t="inlineStr">
        <is>
          <t>Sprint 3</t>
        </is>
      </c>
      <c r="H91" s="19" t="inlineStr">
        <is>
          <t>H3 · MVP (Grupos)</t>
        </is>
      </c>
      <c r="I91" s="19" t="inlineStr">
        <is>
          <t>Como secretario quiero que el pase de lista funcione sin señal.</t>
        </is>
      </c>
      <c r="J91" s="19" t="inlineStr">
        <is>
          <t>Prueba en modo avión y sincronización al reconectar.</t>
        </is>
      </c>
      <c r="K91" s="19" t="inlineStr">
        <is>
          <t>VoBo pendiente</t>
        </is>
      </c>
      <c r="L91" s="19" t="inlineStr">
        <is>
          <t>Pendiente</t>
        </is>
      </c>
      <c r="M91" s="19" t="inlineStr"/>
      <c r="N91" s="19" t="inlineStr"/>
    </row>
    <row r="92">
      <c r="A92" s="18" t="inlineStr">
        <is>
          <t>NF-07</t>
        </is>
      </c>
      <c r="B92" s="19" t="inlineStr">
        <is>
          <t>No funcionales</t>
        </is>
      </c>
      <c r="C92" s="19" t="inlineStr">
        <is>
          <t>Funciona en Android, iOS y escritorio. En iOS, las notificaciones push requieren instalar la PWA; el respaldo por WhatsApp cubre el resto.</t>
        </is>
      </c>
      <c r="D92" s="19" t="inlineStr">
        <is>
          <t>v3</t>
        </is>
      </c>
      <c r="E92" s="19" t="inlineStr">
        <is>
          <t>MVP</t>
        </is>
      </c>
      <c r="F92" s="19" t="inlineStr">
        <is>
          <t>Fase 0</t>
        </is>
      </c>
      <c r="G92" s="19" t="inlineStr">
        <is>
          <t>Sprint 0</t>
        </is>
      </c>
      <c r="H92" s="19" t="inlineStr">
        <is>
          <t>H1 · 18-oct (núcleo Fase 0)</t>
        </is>
      </c>
      <c r="I92" s="19" t="inlineStr">
        <is>
          <t>Como usuario quiero usar el sistema en mi dispositivo.</t>
        </is>
      </c>
      <c r="J92" s="19" t="inlineStr">
        <is>
          <t>Pruebas en Android, iOS y escritorio; push en iOS con la PWA instalada y respaldo por WhatsApp.</t>
        </is>
      </c>
      <c r="K92" s="19" t="inlineStr">
        <is>
          <t>VoBo pendiente</t>
        </is>
      </c>
      <c r="L92" s="19" t="inlineStr">
        <is>
          <t>Pendiente</t>
        </is>
      </c>
      <c r="M92" s="19" t="inlineStr"/>
      <c r="N92" s="19" t="inlineStr"/>
    </row>
    <row r="93">
      <c r="A93" s="18" t="inlineStr">
        <is>
          <t>NF-08</t>
        </is>
      </c>
      <c r="B93" s="19" t="inlineStr">
        <is>
          <t>No funcionales</t>
        </is>
      </c>
      <c r="C93" s="19" t="inlineStr">
        <is>
          <t>Dimensionamiento para ~1,000 personas, con picos los fines de semana, y margen de crecimiento.</t>
        </is>
      </c>
      <c r="D93" s="21" t="inlineStr">
        <is>
          <t>Resp. P8</t>
        </is>
      </c>
      <c r="E93" s="19" t="inlineStr">
        <is>
          <t>MVP</t>
        </is>
      </c>
      <c r="F93" s="19" t="inlineStr">
        <is>
          <t>Fase 0</t>
        </is>
      </c>
      <c r="G93" s="19" t="inlineStr">
        <is>
          <t>Sprint 0</t>
        </is>
      </c>
      <c r="H93" s="19" t="inlineStr">
        <is>
          <t>H1 · 18-oct (núcleo Fase 0)</t>
        </is>
      </c>
      <c r="I93" s="19" t="inlineStr">
        <is>
          <t>Como iglesia queremos que el sistema soporte a ~1,000 personas.</t>
        </is>
      </c>
      <c r="J93" s="19" t="inlineStr">
        <is>
          <t>Prueba de carga con volumen representativo (por definir) sin degradación.</t>
        </is>
      </c>
      <c r="K93" s="19" t="inlineStr">
        <is>
          <t>VoBo pendiente</t>
        </is>
      </c>
      <c r="L93" s="19" t="inlineStr">
        <is>
          <t>Pendiente</t>
        </is>
      </c>
      <c r="M93" s="19" t="inlineStr"/>
      <c r="N93" s="19" t="inlineStr"/>
    </row>
    <row r="94">
      <c r="A94" s="18" t="inlineStr">
        <is>
          <t>NF-09</t>
        </is>
      </c>
      <c r="B94" s="19" t="inlineStr">
        <is>
          <t>No funcionales</t>
        </is>
      </c>
      <c r="C94" s="19" t="inlineStr">
        <is>
          <t>Reportes transversales: asistencia, finanzas, crecimiento de la iglesia, exportables a Excel y PDF.</t>
        </is>
      </c>
      <c r="D94" s="21" t="inlineStr">
        <is>
          <t>Nuevo v3</t>
        </is>
      </c>
      <c r="E94" s="19" t="inlineStr">
        <is>
          <t>Fuera del MVP</t>
        </is>
      </c>
      <c r="F94" s="19" t="inlineStr">
        <is>
          <t>Transversal</t>
        </is>
      </c>
      <c r="G94" s="19" t="inlineStr">
        <is>
          <t>—</t>
        </is>
      </c>
      <c r="H94" s="19" t="inlineStr">
        <is>
          <t>Posterior</t>
        </is>
      </c>
      <c r="I94" s="20" t="inlineStr">
        <is>
          <t>Se define al iniciar la fase.</t>
        </is>
      </c>
      <c r="J94" s="20" t="inlineStr">
        <is>
          <t>Se define al iniciar la fase.</t>
        </is>
      </c>
      <c r="K94" s="19" t="inlineStr">
        <is>
          <t>VoBo pendiente</t>
        </is>
      </c>
      <c r="L94" s="19" t="inlineStr">
        <is>
          <t>Pendiente</t>
        </is>
      </c>
      <c r="M94" s="19" t="inlineStr"/>
      <c r="N94" s="19" t="inlineStr"/>
    </row>
    <row r="95">
      <c r="A95" s="18" t="inlineStr">
        <is>
          <t>NF-10</t>
        </is>
      </c>
      <c r="B95" s="19" t="inlineStr">
        <is>
          <t>No funcionales</t>
        </is>
      </c>
      <c r="C95" s="19" t="inlineStr">
        <is>
          <t>Usabilidad para personas mayores: tipografía grande, alto contraste, flujos cortos (ver sección 5).</t>
        </is>
      </c>
      <c r="D95" s="19" t="inlineStr">
        <is>
          <t>v3 + Obs. 1</t>
        </is>
      </c>
      <c r="E95" s="19" t="inlineStr">
        <is>
          <t>MVP</t>
        </is>
      </c>
      <c r="F95" s="19" t="inlineStr">
        <is>
          <t>Fase 0</t>
        </is>
      </c>
      <c r="G95" s="19" t="inlineStr">
        <is>
          <t>Sprint 0</t>
        </is>
      </c>
      <c r="H95" s="19" t="inlineStr">
        <is>
          <t>H1 · 18-oct (núcleo Fase 0)</t>
        </is>
      </c>
      <c r="I95" s="19" t="inlineStr">
        <is>
          <t>Como persona mayor quiero una interfaz fácil de leer y usar.</t>
        </is>
      </c>
      <c r="J95" s="19" t="inlineStr">
        <is>
          <t>Texto base 18 px, botones de al menos 48 px, contraste AA; prueba con usuarios mayores.</t>
        </is>
      </c>
      <c r="K95" s="19" t="inlineStr">
        <is>
          <t>VoBo pendiente</t>
        </is>
      </c>
      <c r="L95" s="19" t="inlineStr">
        <is>
          <t>Pendiente</t>
        </is>
      </c>
      <c r="M95" s="19" t="inlineStr"/>
      <c r="N95" s="19" t="inlineStr"/>
    </row>
  </sheetData>
  <autoFilter ref="A1:N95"/>
  <conditionalFormatting sqref="L2:L95">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5">
    <cfRule type="expression" priority="6" dxfId="0">
      <formula>$K2="Aprobado"</formula>
    </cfRule>
    <cfRule type="expression" priority="7" dxfId="4">
      <formula>$K2="Por definir"</formula>
    </cfRule>
  </conditionalFormatting>
  <conditionalFormatting sqref="H2:H95">
    <cfRule type="expression" priority="8" dxfId="5">
      <formula>LEFT($H2,2)="H1"</formula>
    </cfRule>
  </conditionalFormatting>
  <dataValidations count="2">
    <dataValidation sqref="L2:L95" showDropDown="0" showInputMessage="0" showErrorMessage="0" allowBlank="0" type="list">
      <formula1>"Pendiente,En diseño,En desarrollo,En pruebas,Hecho,Bloqueado"</formula1>
    </dataValidation>
    <dataValidation sqref="K2:K95"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2026-10-11T01:31:26Z</dcterms:created>
  <dcterms:modified xmlns:dcterms="http://purl.org/dc/terms/" xmlns:xsi="http://www.w3.org/2001/XMLSchema-instance" xsi:type="dcterms:W3CDTF">2026-10-11T01:31:27Z</dcterms:modified>
</cp:coreProperties>
</file>