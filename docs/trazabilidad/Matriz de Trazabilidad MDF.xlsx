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yenda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Matriz" sheetId="3" state="visible" r:id="rId3"/>
    <sheet xmlns:r="http://schemas.openxmlformats.org/officeDocument/2006/relationships" name="Observaciones" sheetId="4" state="visible" r:id="rId4"/>
    <sheet xmlns:r="http://schemas.openxmlformats.org/officeDocument/2006/relationships" name="Origen v1" sheetId="5" state="visible" r:id="rId5"/>
  </sheets>
  <definedNames>
    <definedName name="_xlnm._FilterDatabase" localSheetId="2" hidden="1">'Matriz'!$A$1:$N$92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color rgb="00595959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00"/>
      <sz val="10"/>
    </font>
    <font>
      <name val="Arial"/>
      <color rgb="007F7F7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3" fillId="2" borderId="1" applyAlignment="1" pivotButton="0" quotePrefix="0" xfId="0">
      <alignment horizontal="left" wrapText="1"/>
    </xf>
    <xf numFmtId="0" fontId="3" fillId="2" borderId="1" applyAlignment="1" pivotButton="0" quotePrefix="0" xfId="0">
      <alignment horizontal="center" wrapText="1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9" fontId="5" fillId="0" borderId="1" applyAlignment="1" pivotButton="0" quotePrefix="0" xfId="0">
      <alignment horizontal="center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3" fillId="2" borderId="1" pivotButton="0" quotePrefix="0" xfId="0"/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ill>
        <patternFill patternType="solid">
          <fgColor rgb="00C6EFCE"/>
          <bgColor rgb="00C6EFCE"/>
        </patternFill>
      </fill>
    </dxf>
    <dxf>
      <fill>
        <patternFill patternType="solid">
          <fgColor rgb="00DDEBF7"/>
          <bgColor rgb="00DDEBF7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699"/>
          <b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Matriz de trazabilidad · Mundo de Fe México</t>
        </is>
      </c>
    </row>
    <row r="2">
      <c r="A2" s="2" t="inlineStr">
        <is>
          <t>Base: documentos v3 y v3.2 (MVP). Versión 1.0 de la matriz · borrador para VoBo.</t>
        </is>
      </c>
    </row>
    <row r="4">
      <c r="A4" s="3" t="inlineStr">
        <is>
          <t>Cómo usarla</t>
        </is>
      </c>
      <c r="B4" s="4" t="n"/>
    </row>
    <row r="5">
      <c r="A5" s="5" t="inlineStr">
        <is>
          <t>Hoja Matriz</t>
        </is>
      </c>
      <c r="B5" s="6" t="inlineStr">
        <is>
          <t>Una fila por requerimiento. Las columnas A a H salen de los documentos; I y J son un borrador de historia y criterio de aceptación para lo que entra al MVP. Completa K, L y M durante el desarrollo.</t>
        </is>
      </c>
    </row>
    <row r="6">
      <c r="A6" s="5" t="inlineStr">
        <is>
          <t>Hoja Observaciones</t>
        </is>
      </c>
      <c r="B6" s="6" t="inlineStr">
        <is>
          <t>Rastrea cada observación del v3 hacia los requerimientos que la atienden.</t>
        </is>
      </c>
    </row>
    <row r="7">
      <c r="A7" s="5" t="inlineStr">
        <is>
          <t>Hoja Origen v1</t>
        </is>
      </c>
      <c r="B7" s="6" t="inlineStr">
        <is>
          <t>Rastrea cada necesidad del levantamiento original (v1) hacia los requerimientos actuales; sirve para detectar pérdidas entre versiones.</t>
        </is>
      </c>
    </row>
    <row r="8">
      <c r="A8" s="5" t="inlineStr">
        <is>
          <t>Hoja Resumen</t>
        </is>
      </c>
      <c r="B8" s="6" t="inlineStr">
        <is>
          <t>Avance por fase, hito y estado. Se calcula con fórmulas a partir de la hoja Matriz: no se edita.</t>
        </is>
      </c>
    </row>
    <row r="9">
      <c r="A9" s="3" t="inlineStr">
        <is>
          <t>Columnas editables</t>
        </is>
      </c>
      <c r="B9" s="4" t="n"/>
    </row>
    <row r="10">
      <c r="A10" s="5" t="inlineStr">
        <is>
          <t>Estado</t>
        </is>
      </c>
      <c r="B10" s="6" t="inlineStr">
        <is>
          <t>Elige de la lista: Pendiente, En diseño, En desarrollo, En pruebas, Hecho, Bloqueado. Ejemplo: En pruebas.</t>
        </is>
      </c>
    </row>
    <row r="11">
      <c r="A11" s="5" t="inlineStr">
        <is>
          <t>Evidencia</t>
        </is>
      </c>
      <c r="B11" s="6" t="inlineStr">
        <is>
          <t>Enlace o referencia que demuestra el avance (rama, pantalla del lienzo, resultado de la prueba). Ejemplo: Rama feature/m1-17-acceso · Prueba P-017 aprobada.</t>
        </is>
      </c>
    </row>
    <row r="12">
      <c r="A12" s="5" t="inlineStr">
        <is>
          <t>Notas</t>
        </is>
      </c>
      <c r="B12" s="6" t="inlineStr">
        <is>
          <t>Dudas, decisiones y cambios al requerimiento. Ejemplo: 2026-10-10 · PIN de 6 dígitos confirmado con el Pastor.</t>
        </is>
      </c>
    </row>
    <row r="13">
      <c r="A13" s="3" t="inlineStr">
        <is>
          <t>Hitos</t>
        </is>
      </c>
      <c r="B13" s="4" t="n"/>
    </row>
    <row r="14">
      <c r="A14" s="5" t="inlineStr">
        <is>
          <t>H1 · 18-oct (núcleo Fase 0)</t>
        </is>
      </c>
      <c r="B14" s="6" t="inlineStr">
        <is>
          <t>Objetivo para el 18 de octubre: acceso con WhatsApp + PIN, expediente (EDU) y Contacto, consentimiento, roles base, bitácora, respaldos y despliegue. Es un núcleo, no la Fase 0 completa.</t>
        </is>
      </c>
    </row>
    <row r="15">
      <c r="A15" s="5" t="inlineStr">
        <is>
          <t>H2 · Fase 0 completa</t>
        </is>
      </c>
      <c r="B15" s="6" t="inlineStr">
        <is>
          <t>Avisos y notificaciones, plantillas, diseñador de formularios, permisos por área, seguimiento a visitantes y catálogo de áreas. Estimado: unas 3 semanas después de H1 si se mantiene el ritmo (estimación mía, a recalibrar).</t>
        </is>
      </c>
    </row>
    <row r="16">
      <c r="A16" s="5" t="inlineStr">
        <is>
          <t>H3 · MVP (Grupos)</t>
        </is>
      </c>
      <c r="B16" s="6" t="inlineStr">
        <is>
          <t>Módulo Grupos de Conexión completo, pase de lista sin conexión y dashboards.</t>
        </is>
      </c>
    </row>
    <row r="17">
      <c r="A17" s="5" t="inlineStr">
        <is>
          <t>Posterior</t>
        </is>
      </c>
      <c r="B17" s="6" t="inlineStr">
        <is>
          <t>Fases 2 a 5: Kids, Cursos, Áreas completas, Ministerios, Eventos, vehículos y app nativa.</t>
        </is>
      </c>
    </row>
    <row r="18">
      <c r="A18" s="3" t="inlineStr">
        <is>
          <t>Origen (colores)</t>
        </is>
      </c>
      <c r="B18" s="4" t="n"/>
    </row>
    <row r="19">
      <c r="A19" s="7" t="inlineStr">
        <is>
          <t>Verde</t>
        </is>
      </c>
      <c r="B19" s="6" t="inlineStr">
        <is>
          <t>Recuperado del levantamiento original (v1).</t>
        </is>
      </c>
    </row>
    <row r="20">
      <c r="A20" s="8" t="inlineStr">
        <is>
          <t>Amarillo</t>
        </is>
      </c>
      <c r="B20" s="6" t="inlineStr">
        <is>
          <t>Nuevo o corregido en versiones posteriores (observaciones, respuestas, v3.1 o v3.2).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Resumen de avance</t>
        </is>
      </c>
    </row>
    <row r="2">
      <c r="A2" s="2" t="inlineStr">
        <is>
          <t>Se calcula con fórmulas a partir de la hoja Matriz. No editar.</t>
        </is>
      </c>
    </row>
    <row r="4">
      <c r="A4" s="9" t="inlineStr">
        <is>
          <t>Fase</t>
        </is>
      </c>
      <c r="B4" s="10" t="inlineStr">
        <is>
          <t>Total</t>
        </is>
      </c>
      <c r="C4" s="10" t="inlineStr">
        <is>
          <t>Pendiente</t>
        </is>
      </c>
      <c r="D4" s="10" t="inlineStr">
        <is>
          <t>En diseño</t>
        </is>
      </c>
      <c r="E4" s="10" t="inlineStr">
        <is>
          <t>En desarrollo</t>
        </is>
      </c>
      <c r="F4" s="10" t="inlineStr">
        <is>
          <t>En pruebas</t>
        </is>
      </c>
      <c r="G4" s="10" t="inlineStr">
        <is>
          <t>Hecho</t>
        </is>
      </c>
      <c r="H4" s="10" t="inlineStr">
        <is>
          <t>Bloqueado</t>
        </is>
      </c>
      <c r="I4" s="10" t="inlineStr">
        <is>
          <t>% Hecho</t>
        </is>
      </c>
    </row>
    <row r="5">
      <c r="A5" s="11" t="inlineStr">
        <is>
          <t>Fase 0</t>
        </is>
      </c>
      <c r="B5" s="12">
        <f>COUNTIF(Matriz!$F$2:$F$92,$A5)</f>
        <v/>
      </c>
      <c r="C5" s="12">
        <f>COUNTIFS(Matriz!$F$2:$F$92,$A5,Matriz!$L$2:$L$92,"Pendiente")</f>
        <v/>
      </c>
      <c r="D5" s="12">
        <f>COUNTIFS(Matriz!$F$2:$F$92,$A5,Matriz!$L$2:$L$92,"En diseño")</f>
        <v/>
      </c>
      <c r="E5" s="12">
        <f>COUNTIFS(Matriz!$F$2:$F$92,$A5,Matriz!$L$2:$L$92,"En desarrollo")</f>
        <v/>
      </c>
      <c r="F5" s="12">
        <f>COUNTIFS(Matriz!$F$2:$F$92,$A5,Matriz!$L$2:$L$92,"En pruebas")</f>
        <v/>
      </c>
      <c r="G5" s="12">
        <f>COUNTIFS(Matriz!$F$2:$F$92,$A5,Matriz!$L$2:$L$92,"Hecho")</f>
        <v/>
      </c>
      <c r="H5" s="12">
        <f>COUNTIFS(Matriz!$F$2:$F$92,$A5,Matriz!$L$2:$L$92,"Bloqueado")</f>
        <v/>
      </c>
      <c r="I5" s="13">
        <f>IF(B5=0,0,G5/B5)</f>
        <v/>
      </c>
    </row>
    <row r="6">
      <c r="A6" s="11" t="inlineStr">
        <is>
          <t>Fase 1</t>
        </is>
      </c>
      <c r="B6" s="12">
        <f>COUNTIF(Matriz!$F$2:$F$92,$A6)</f>
        <v/>
      </c>
      <c r="C6" s="12">
        <f>COUNTIFS(Matriz!$F$2:$F$92,$A6,Matriz!$L$2:$L$92,"Pendiente")</f>
        <v/>
      </c>
      <c r="D6" s="12">
        <f>COUNTIFS(Matriz!$F$2:$F$92,$A6,Matriz!$L$2:$L$92,"En diseño")</f>
        <v/>
      </c>
      <c r="E6" s="12">
        <f>COUNTIFS(Matriz!$F$2:$F$92,$A6,Matriz!$L$2:$L$92,"En desarrollo")</f>
        <v/>
      </c>
      <c r="F6" s="12">
        <f>COUNTIFS(Matriz!$F$2:$F$92,$A6,Matriz!$L$2:$L$92,"En pruebas")</f>
        <v/>
      </c>
      <c r="G6" s="12">
        <f>COUNTIFS(Matriz!$F$2:$F$92,$A6,Matriz!$L$2:$L$92,"Hecho")</f>
        <v/>
      </c>
      <c r="H6" s="12">
        <f>COUNTIFS(Matriz!$F$2:$F$92,$A6,Matriz!$L$2:$L$92,"Bloqueado")</f>
        <v/>
      </c>
      <c r="I6" s="13">
        <f>IF(B6=0,0,G6/B6)</f>
        <v/>
      </c>
    </row>
    <row r="7">
      <c r="A7" s="11" t="inlineStr">
        <is>
          <t>Fase 2</t>
        </is>
      </c>
      <c r="B7" s="12">
        <f>COUNTIF(Matriz!$F$2:$F$92,$A7)</f>
        <v/>
      </c>
      <c r="C7" s="12">
        <f>COUNTIFS(Matriz!$F$2:$F$92,$A7,Matriz!$L$2:$L$92,"Pendiente")</f>
        <v/>
      </c>
      <c r="D7" s="12">
        <f>COUNTIFS(Matriz!$F$2:$F$92,$A7,Matriz!$L$2:$L$92,"En diseño")</f>
        <v/>
      </c>
      <c r="E7" s="12">
        <f>COUNTIFS(Matriz!$F$2:$F$92,$A7,Matriz!$L$2:$L$92,"En desarrollo")</f>
        <v/>
      </c>
      <c r="F7" s="12">
        <f>COUNTIFS(Matriz!$F$2:$F$92,$A7,Matriz!$L$2:$L$92,"En pruebas")</f>
        <v/>
      </c>
      <c r="G7" s="12">
        <f>COUNTIFS(Matriz!$F$2:$F$92,$A7,Matriz!$L$2:$L$92,"Hecho")</f>
        <v/>
      </c>
      <c r="H7" s="12">
        <f>COUNTIFS(Matriz!$F$2:$F$92,$A7,Matriz!$L$2:$L$92,"Bloqueado")</f>
        <v/>
      </c>
      <c r="I7" s="13">
        <f>IF(B7=0,0,G7/B7)</f>
        <v/>
      </c>
    </row>
    <row r="8">
      <c r="A8" s="11" t="inlineStr">
        <is>
          <t>Fase 3</t>
        </is>
      </c>
      <c r="B8" s="12">
        <f>COUNTIF(Matriz!$F$2:$F$92,$A8)</f>
        <v/>
      </c>
      <c r="C8" s="12">
        <f>COUNTIFS(Matriz!$F$2:$F$92,$A8,Matriz!$L$2:$L$92,"Pendiente")</f>
        <v/>
      </c>
      <c r="D8" s="12">
        <f>COUNTIFS(Matriz!$F$2:$F$92,$A8,Matriz!$L$2:$L$92,"En diseño")</f>
        <v/>
      </c>
      <c r="E8" s="12">
        <f>COUNTIFS(Matriz!$F$2:$F$92,$A8,Matriz!$L$2:$L$92,"En desarrollo")</f>
        <v/>
      </c>
      <c r="F8" s="12">
        <f>COUNTIFS(Matriz!$F$2:$F$92,$A8,Matriz!$L$2:$L$92,"En pruebas")</f>
        <v/>
      </c>
      <c r="G8" s="12">
        <f>COUNTIFS(Matriz!$F$2:$F$92,$A8,Matriz!$L$2:$L$92,"Hecho")</f>
        <v/>
      </c>
      <c r="H8" s="12">
        <f>COUNTIFS(Matriz!$F$2:$F$92,$A8,Matriz!$L$2:$L$92,"Bloqueado")</f>
        <v/>
      </c>
      <c r="I8" s="13">
        <f>IF(B8=0,0,G8/B8)</f>
        <v/>
      </c>
    </row>
    <row r="9">
      <c r="A9" s="11" t="inlineStr">
        <is>
          <t>Fase 4</t>
        </is>
      </c>
      <c r="B9" s="12">
        <f>COUNTIF(Matriz!$F$2:$F$92,$A9)</f>
        <v/>
      </c>
      <c r="C9" s="12">
        <f>COUNTIFS(Matriz!$F$2:$F$92,$A9,Matriz!$L$2:$L$92,"Pendiente")</f>
        <v/>
      </c>
      <c r="D9" s="12">
        <f>COUNTIFS(Matriz!$F$2:$F$92,$A9,Matriz!$L$2:$L$92,"En diseño")</f>
        <v/>
      </c>
      <c r="E9" s="12">
        <f>COUNTIFS(Matriz!$F$2:$F$92,$A9,Matriz!$L$2:$L$92,"En desarrollo")</f>
        <v/>
      </c>
      <c r="F9" s="12">
        <f>COUNTIFS(Matriz!$F$2:$F$92,$A9,Matriz!$L$2:$L$92,"En pruebas")</f>
        <v/>
      </c>
      <c r="G9" s="12">
        <f>COUNTIFS(Matriz!$F$2:$F$92,$A9,Matriz!$L$2:$L$92,"Hecho")</f>
        <v/>
      </c>
      <c r="H9" s="12">
        <f>COUNTIFS(Matriz!$F$2:$F$92,$A9,Matriz!$L$2:$L$92,"Bloqueado")</f>
        <v/>
      </c>
      <c r="I9" s="13">
        <f>IF(B9=0,0,G9/B9)</f>
        <v/>
      </c>
    </row>
    <row r="10">
      <c r="A10" s="11" t="inlineStr">
        <is>
          <t>Fase 5</t>
        </is>
      </c>
      <c r="B10" s="12">
        <f>COUNTIF(Matriz!$F$2:$F$92,$A10)</f>
        <v/>
      </c>
      <c r="C10" s="12">
        <f>COUNTIFS(Matriz!$F$2:$F$92,$A10,Matriz!$L$2:$L$92,"Pendiente")</f>
        <v/>
      </c>
      <c r="D10" s="12">
        <f>COUNTIFS(Matriz!$F$2:$F$92,$A10,Matriz!$L$2:$L$92,"En diseño")</f>
        <v/>
      </c>
      <c r="E10" s="12">
        <f>COUNTIFS(Matriz!$F$2:$F$92,$A10,Matriz!$L$2:$L$92,"En desarrollo")</f>
        <v/>
      </c>
      <c r="F10" s="12">
        <f>COUNTIFS(Matriz!$F$2:$F$92,$A10,Matriz!$L$2:$L$92,"En pruebas")</f>
        <v/>
      </c>
      <c r="G10" s="12">
        <f>COUNTIFS(Matriz!$F$2:$F$92,$A10,Matriz!$L$2:$L$92,"Hecho")</f>
        <v/>
      </c>
      <c r="H10" s="12">
        <f>COUNTIFS(Matriz!$F$2:$F$92,$A10,Matriz!$L$2:$L$92,"Bloqueado")</f>
        <v/>
      </c>
      <c r="I10" s="13">
        <f>IF(B10=0,0,G10/B10)</f>
        <v/>
      </c>
    </row>
    <row r="11">
      <c r="A11" s="11" t="inlineStr">
        <is>
          <t>Transversal</t>
        </is>
      </c>
      <c r="B11" s="12">
        <f>COUNTIF(Matriz!$F$2:$F$92,$A11)</f>
        <v/>
      </c>
      <c r="C11" s="12">
        <f>COUNTIFS(Matriz!$F$2:$F$92,$A11,Matriz!$L$2:$L$92,"Pendiente")</f>
        <v/>
      </c>
      <c r="D11" s="12">
        <f>COUNTIFS(Matriz!$F$2:$F$92,$A11,Matriz!$L$2:$L$92,"En diseño")</f>
        <v/>
      </c>
      <c r="E11" s="12">
        <f>COUNTIFS(Matriz!$F$2:$F$92,$A11,Matriz!$L$2:$L$92,"En desarrollo")</f>
        <v/>
      </c>
      <c r="F11" s="12">
        <f>COUNTIFS(Matriz!$F$2:$F$92,$A11,Matriz!$L$2:$L$92,"En pruebas")</f>
        <v/>
      </c>
      <c r="G11" s="12">
        <f>COUNTIFS(Matriz!$F$2:$F$92,$A11,Matriz!$L$2:$L$92,"Hecho")</f>
        <v/>
      </c>
      <c r="H11" s="12">
        <f>COUNTIFS(Matriz!$F$2:$F$92,$A11,Matriz!$L$2:$L$92,"Bloqueado")</f>
        <v/>
      </c>
      <c r="I11" s="13">
        <f>IF(B11=0,0,G11/B11)</f>
        <v/>
      </c>
    </row>
    <row r="12">
      <c r="A12" s="14" t="inlineStr">
        <is>
          <t>Total</t>
        </is>
      </c>
      <c r="B12" s="15">
        <f>SUM(B5:B11)</f>
        <v/>
      </c>
      <c r="C12" s="15">
        <f>SUM(C5:C11)</f>
        <v/>
      </c>
      <c r="D12" s="15">
        <f>SUM(D5:D11)</f>
        <v/>
      </c>
      <c r="E12" s="15">
        <f>SUM(E5:E11)</f>
        <v/>
      </c>
      <c r="F12" s="15">
        <f>SUM(F5:F11)</f>
        <v/>
      </c>
      <c r="G12" s="15">
        <f>SUM(G5:G11)</f>
        <v/>
      </c>
      <c r="H12" s="15">
        <f>SUM(H5:H11)</f>
        <v/>
      </c>
      <c r="I12" s="16">
        <f>IF(B12=0,0,G12/B12)</f>
        <v/>
      </c>
    </row>
    <row r="15">
      <c r="A15" s="9" t="inlineStr">
        <is>
          <t>Hito</t>
        </is>
      </c>
      <c r="B15" s="10" t="inlineStr">
        <is>
          <t>Total</t>
        </is>
      </c>
      <c r="C15" s="10" t="inlineStr">
        <is>
          <t>Pendiente</t>
        </is>
      </c>
      <c r="D15" s="10" t="inlineStr">
        <is>
          <t>En diseño</t>
        </is>
      </c>
      <c r="E15" s="10" t="inlineStr">
        <is>
          <t>En desarrollo</t>
        </is>
      </c>
      <c r="F15" s="10" t="inlineStr">
        <is>
          <t>En pruebas</t>
        </is>
      </c>
      <c r="G15" s="10" t="inlineStr">
        <is>
          <t>Hecho</t>
        </is>
      </c>
      <c r="H15" s="10" t="inlineStr">
        <is>
          <t>Bloqueado</t>
        </is>
      </c>
      <c r="I15" s="10" t="inlineStr">
        <is>
          <t>% Hecho</t>
        </is>
      </c>
    </row>
    <row r="16">
      <c r="A16" s="11" t="inlineStr">
        <is>
          <t>H1 · 18-oct (núcleo Fase 0)</t>
        </is>
      </c>
      <c r="B16" s="12">
        <f>COUNTIF(Matriz!$H$2:$H$92,$A16)</f>
        <v/>
      </c>
      <c r="C16" s="12">
        <f>COUNTIFS(Matriz!$H$2:$H$92,$A16,Matriz!$L$2:$L$92,"Pendiente")</f>
        <v/>
      </c>
      <c r="D16" s="12">
        <f>COUNTIFS(Matriz!$H$2:$H$92,$A16,Matriz!$L$2:$L$92,"En diseño")</f>
        <v/>
      </c>
      <c r="E16" s="12">
        <f>COUNTIFS(Matriz!$H$2:$H$92,$A16,Matriz!$L$2:$L$92,"En desarrollo")</f>
        <v/>
      </c>
      <c r="F16" s="12">
        <f>COUNTIFS(Matriz!$H$2:$H$92,$A16,Matriz!$L$2:$L$92,"En pruebas")</f>
        <v/>
      </c>
      <c r="G16" s="12">
        <f>COUNTIFS(Matriz!$H$2:$H$92,$A16,Matriz!$L$2:$L$92,"Hecho")</f>
        <v/>
      </c>
      <c r="H16" s="12">
        <f>COUNTIFS(Matriz!$H$2:$H$92,$A16,Matriz!$L$2:$L$92,"Bloqueado")</f>
        <v/>
      </c>
      <c r="I16" s="13">
        <f>IF(B16=0,0,G16/B16)</f>
        <v/>
      </c>
    </row>
    <row r="17">
      <c r="A17" s="11" t="inlineStr">
        <is>
          <t>H2 · Fase 0 completa</t>
        </is>
      </c>
      <c r="B17" s="12">
        <f>COUNTIF(Matriz!$H$2:$H$92,$A17)</f>
        <v/>
      </c>
      <c r="C17" s="12">
        <f>COUNTIFS(Matriz!$H$2:$H$92,$A17,Matriz!$L$2:$L$92,"Pendiente")</f>
        <v/>
      </c>
      <c r="D17" s="12">
        <f>COUNTIFS(Matriz!$H$2:$H$92,$A17,Matriz!$L$2:$L$92,"En diseño")</f>
        <v/>
      </c>
      <c r="E17" s="12">
        <f>COUNTIFS(Matriz!$H$2:$H$92,$A17,Matriz!$L$2:$L$92,"En desarrollo")</f>
        <v/>
      </c>
      <c r="F17" s="12">
        <f>COUNTIFS(Matriz!$H$2:$H$92,$A17,Matriz!$L$2:$L$92,"En pruebas")</f>
        <v/>
      </c>
      <c r="G17" s="12">
        <f>COUNTIFS(Matriz!$H$2:$H$92,$A17,Matriz!$L$2:$L$92,"Hecho")</f>
        <v/>
      </c>
      <c r="H17" s="12">
        <f>COUNTIFS(Matriz!$H$2:$H$92,$A17,Matriz!$L$2:$L$92,"Bloqueado")</f>
        <v/>
      </c>
      <c r="I17" s="13">
        <f>IF(B17=0,0,G17/B17)</f>
        <v/>
      </c>
    </row>
    <row r="18">
      <c r="A18" s="11" t="inlineStr">
        <is>
          <t>H3 · MVP (Grupos)</t>
        </is>
      </c>
      <c r="B18" s="12">
        <f>COUNTIF(Matriz!$H$2:$H$92,$A18)</f>
        <v/>
      </c>
      <c r="C18" s="12">
        <f>COUNTIFS(Matriz!$H$2:$H$92,$A18,Matriz!$L$2:$L$92,"Pendiente")</f>
        <v/>
      </c>
      <c r="D18" s="12">
        <f>COUNTIFS(Matriz!$H$2:$H$92,$A18,Matriz!$L$2:$L$92,"En diseño")</f>
        <v/>
      </c>
      <c r="E18" s="12">
        <f>COUNTIFS(Matriz!$H$2:$H$92,$A18,Matriz!$L$2:$L$92,"En desarrollo")</f>
        <v/>
      </c>
      <c r="F18" s="12">
        <f>COUNTIFS(Matriz!$H$2:$H$92,$A18,Matriz!$L$2:$L$92,"En pruebas")</f>
        <v/>
      </c>
      <c r="G18" s="12">
        <f>COUNTIFS(Matriz!$H$2:$H$92,$A18,Matriz!$L$2:$L$92,"Hecho")</f>
        <v/>
      </c>
      <c r="H18" s="12">
        <f>COUNTIFS(Matriz!$H$2:$H$92,$A18,Matriz!$L$2:$L$92,"Bloqueado")</f>
        <v/>
      </c>
      <c r="I18" s="13">
        <f>IF(B18=0,0,G18/B18)</f>
        <v/>
      </c>
    </row>
    <row r="19">
      <c r="A19" s="11" t="inlineStr">
        <is>
          <t>Posterior</t>
        </is>
      </c>
      <c r="B19" s="12">
        <f>COUNTIF(Matriz!$H$2:$H$92,$A19)</f>
        <v/>
      </c>
      <c r="C19" s="12">
        <f>COUNTIFS(Matriz!$H$2:$H$92,$A19,Matriz!$L$2:$L$92,"Pendiente")</f>
        <v/>
      </c>
      <c r="D19" s="12">
        <f>COUNTIFS(Matriz!$H$2:$H$92,$A19,Matriz!$L$2:$L$92,"En diseño")</f>
        <v/>
      </c>
      <c r="E19" s="12">
        <f>COUNTIFS(Matriz!$H$2:$H$92,$A19,Matriz!$L$2:$L$92,"En desarrollo")</f>
        <v/>
      </c>
      <c r="F19" s="12">
        <f>COUNTIFS(Matriz!$H$2:$H$92,$A19,Matriz!$L$2:$L$92,"En pruebas")</f>
        <v/>
      </c>
      <c r="G19" s="12">
        <f>COUNTIFS(Matriz!$H$2:$H$92,$A19,Matriz!$L$2:$L$92,"Hecho")</f>
        <v/>
      </c>
      <c r="H19" s="12">
        <f>COUNTIFS(Matriz!$H$2:$H$92,$A19,Matriz!$L$2:$L$92,"Bloqueado")</f>
        <v/>
      </c>
      <c r="I19" s="13">
        <f>IF(B19=0,0,G19/B19)</f>
        <v/>
      </c>
    </row>
    <row r="20">
      <c r="A20" s="14" t="inlineStr">
        <is>
          <t>Total</t>
        </is>
      </c>
      <c r="B20" s="15">
        <f>SUM(B16:B19)</f>
        <v/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6">
        <f>IF(B20=0,0,G20/B20)</f>
        <v/>
      </c>
    </row>
    <row r="23">
      <c r="A23" s="9" t="inlineStr">
        <is>
          <t>Sprint</t>
        </is>
      </c>
      <c r="B23" s="10" t="inlineStr">
        <is>
          <t>Total</t>
        </is>
      </c>
      <c r="C23" s="10" t="inlineStr">
        <is>
          <t>Pendiente</t>
        </is>
      </c>
      <c r="D23" s="10" t="inlineStr">
        <is>
          <t>En diseño</t>
        </is>
      </c>
      <c r="E23" s="10" t="inlineStr">
        <is>
          <t>En desarrollo</t>
        </is>
      </c>
      <c r="F23" s="10" t="inlineStr">
        <is>
          <t>En pruebas</t>
        </is>
      </c>
      <c r="G23" s="10" t="inlineStr">
        <is>
          <t>Hecho</t>
        </is>
      </c>
      <c r="H23" s="10" t="inlineStr">
        <is>
          <t>Bloqueado</t>
        </is>
      </c>
      <c r="I23" s="10" t="inlineStr">
        <is>
          <t>% Hecho</t>
        </is>
      </c>
    </row>
    <row r="24">
      <c r="A24" s="11" t="inlineStr">
        <is>
          <t>Sprint 0</t>
        </is>
      </c>
      <c r="B24" s="12">
        <f>COUNTIF(Matriz!$G$2:$G$92,$A24)</f>
        <v/>
      </c>
      <c r="C24" s="12">
        <f>COUNTIFS(Matriz!$G$2:$G$92,$A24,Matriz!$L$2:$L$92,"Pendiente")</f>
        <v/>
      </c>
      <c r="D24" s="12">
        <f>COUNTIFS(Matriz!$G$2:$G$92,$A24,Matriz!$L$2:$L$92,"En diseño")</f>
        <v/>
      </c>
      <c r="E24" s="12">
        <f>COUNTIFS(Matriz!$G$2:$G$92,$A24,Matriz!$L$2:$L$92,"En desarrollo")</f>
        <v/>
      </c>
      <c r="F24" s="12">
        <f>COUNTIFS(Matriz!$G$2:$G$92,$A24,Matriz!$L$2:$L$92,"En pruebas")</f>
        <v/>
      </c>
      <c r="G24" s="12">
        <f>COUNTIFS(Matriz!$G$2:$G$92,$A24,Matriz!$L$2:$L$92,"Hecho")</f>
        <v/>
      </c>
      <c r="H24" s="12">
        <f>COUNTIFS(Matriz!$G$2:$G$92,$A24,Matriz!$L$2:$L$92,"Bloqueado")</f>
        <v/>
      </c>
      <c r="I24" s="13">
        <f>IF(B24=0,0,G24/B24)</f>
        <v/>
      </c>
    </row>
    <row r="25">
      <c r="A25" s="11" t="inlineStr">
        <is>
          <t>Sprint 1</t>
        </is>
      </c>
      <c r="B25" s="12">
        <f>COUNTIF(Matriz!$G$2:$G$92,$A25)</f>
        <v/>
      </c>
      <c r="C25" s="12">
        <f>COUNTIFS(Matriz!$G$2:$G$92,$A25,Matriz!$L$2:$L$92,"Pendiente")</f>
        <v/>
      </c>
      <c r="D25" s="12">
        <f>COUNTIFS(Matriz!$G$2:$G$92,$A25,Matriz!$L$2:$L$92,"En diseño")</f>
        <v/>
      </c>
      <c r="E25" s="12">
        <f>COUNTIFS(Matriz!$G$2:$G$92,$A25,Matriz!$L$2:$L$92,"En desarrollo")</f>
        <v/>
      </c>
      <c r="F25" s="12">
        <f>COUNTIFS(Matriz!$G$2:$G$92,$A25,Matriz!$L$2:$L$92,"En pruebas")</f>
        <v/>
      </c>
      <c r="G25" s="12">
        <f>COUNTIFS(Matriz!$G$2:$G$92,$A25,Matriz!$L$2:$L$92,"Hecho")</f>
        <v/>
      </c>
      <c r="H25" s="12">
        <f>COUNTIFS(Matriz!$G$2:$G$92,$A25,Matriz!$L$2:$L$92,"Bloqueado")</f>
        <v/>
      </c>
      <c r="I25" s="13">
        <f>IF(B25=0,0,G25/B25)</f>
        <v/>
      </c>
    </row>
    <row r="26">
      <c r="A26" s="11" t="inlineStr">
        <is>
          <t>Sprint 2</t>
        </is>
      </c>
      <c r="B26" s="12">
        <f>COUNTIF(Matriz!$G$2:$G$92,$A26)</f>
        <v/>
      </c>
      <c r="C26" s="12">
        <f>COUNTIFS(Matriz!$G$2:$G$92,$A26,Matriz!$L$2:$L$92,"Pendiente")</f>
        <v/>
      </c>
      <c r="D26" s="12">
        <f>COUNTIFS(Matriz!$G$2:$G$92,$A26,Matriz!$L$2:$L$92,"En diseño")</f>
        <v/>
      </c>
      <c r="E26" s="12">
        <f>COUNTIFS(Matriz!$G$2:$G$92,$A26,Matriz!$L$2:$L$92,"En desarrollo")</f>
        <v/>
      </c>
      <c r="F26" s="12">
        <f>COUNTIFS(Matriz!$G$2:$G$92,$A26,Matriz!$L$2:$L$92,"En pruebas")</f>
        <v/>
      </c>
      <c r="G26" s="12">
        <f>COUNTIFS(Matriz!$G$2:$G$92,$A26,Matriz!$L$2:$L$92,"Hecho")</f>
        <v/>
      </c>
      <c r="H26" s="12">
        <f>COUNTIFS(Matriz!$G$2:$G$92,$A26,Matriz!$L$2:$L$92,"Bloqueado")</f>
        <v/>
      </c>
      <c r="I26" s="13">
        <f>IF(B26=0,0,G26/B26)</f>
        <v/>
      </c>
    </row>
    <row r="27">
      <c r="A27" s="11" t="inlineStr">
        <is>
          <t>Sprint 3</t>
        </is>
      </c>
      <c r="B27" s="12">
        <f>COUNTIF(Matriz!$G$2:$G$92,$A27)</f>
        <v/>
      </c>
      <c r="C27" s="12">
        <f>COUNTIFS(Matriz!$G$2:$G$92,$A27,Matriz!$L$2:$L$92,"Pendiente")</f>
        <v/>
      </c>
      <c r="D27" s="12">
        <f>COUNTIFS(Matriz!$G$2:$G$92,$A27,Matriz!$L$2:$L$92,"En diseño")</f>
        <v/>
      </c>
      <c r="E27" s="12">
        <f>COUNTIFS(Matriz!$G$2:$G$92,$A27,Matriz!$L$2:$L$92,"En desarrollo")</f>
        <v/>
      </c>
      <c r="F27" s="12">
        <f>COUNTIFS(Matriz!$G$2:$G$92,$A27,Matriz!$L$2:$L$92,"En pruebas")</f>
        <v/>
      </c>
      <c r="G27" s="12">
        <f>COUNTIFS(Matriz!$G$2:$G$92,$A27,Matriz!$L$2:$L$92,"Hecho")</f>
        <v/>
      </c>
      <c r="H27" s="12">
        <f>COUNTIFS(Matriz!$G$2:$G$92,$A27,Matriz!$L$2:$L$92,"Bloqueado")</f>
        <v/>
      </c>
      <c r="I27" s="13">
        <f>IF(B27=0,0,G27/B27)</f>
        <v/>
      </c>
    </row>
    <row r="28">
      <c r="A28" s="11" t="inlineStr">
        <is>
          <t>Sprint 4</t>
        </is>
      </c>
      <c r="B28" s="12">
        <f>COUNTIF(Matriz!$G$2:$G$92,$A28)</f>
        <v/>
      </c>
      <c r="C28" s="12">
        <f>COUNTIFS(Matriz!$G$2:$G$92,$A28,Matriz!$L$2:$L$92,"Pendiente")</f>
        <v/>
      </c>
      <c r="D28" s="12">
        <f>COUNTIFS(Matriz!$G$2:$G$92,$A28,Matriz!$L$2:$L$92,"En diseño")</f>
        <v/>
      </c>
      <c r="E28" s="12">
        <f>COUNTIFS(Matriz!$G$2:$G$92,$A28,Matriz!$L$2:$L$92,"En desarrollo")</f>
        <v/>
      </c>
      <c r="F28" s="12">
        <f>COUNTIFS(Matriz!$G$2:$G$92,$A28,Matriz!$L$2:$L$92,"En pruebas")</f>
        <v/>
      </c>
      <c r="G28" s="12">
        <f>COUNTIFS(Matriz!$G$2:$G$92,$A28,Matriz!$L$2:$L$92,"Hecho")</f>
        <v/>
      </c>
      <c r="H28" s="12">
        <f>COUNTIFS(Matriz!$G$2:$G$92,$A28,Matriz!$L$2:$L$92,"Bloqueado")</f>
        <v/>
      </c>
      <c r="I28" s="13">
        <f>IF(B28=0,0,G28/B28)</f>
        <v/>
      </c>
    </row>
    <row r="29">
      <c r="A29" s="11" t="inlineStr">
        <is>
          <t>Sprint 5</t>
        </is>
      </c>
      <c r="B29" s="12">
        <f>COUNTIF(Matriz!$G$2:$G$92,$A29)</f>
        <v/>
      </c>
      <c r="C29" s="12">
        <f>COUNTIFS(Matriz!$G$2:$G$92,$A29,Matriz!$L$2:$L$92,"Pendiente")</f>
        <v/>
      </c>
      <c r="D29" s="12">
        <f>COUNTIFS(Matriz!$G$2:$G$92,$A29,Matriz!$L$2:$L$92,"En diseño")</f>
        <v/>
      </c>
      <c r="E29" s="12">
        <f>COUNTIFS(Matriz!$G$2:$G$92,$A29,Matriz!$L$2:$L$92,"En desarrollo")</f>
        <v/>
      </c>
      <c r="F29" s="12">
        <f>COUNTIFS(Matriz!$G$2:$G$92,$A29,Matriz!$L$2:$L$92,"En pruebas")</f>
        <v/>
      </c>
      <c r="G29" s="12">
        <f>COUNTIFS(Matriz!$G$2:$G$92,$A29,Matriz!$L$2:$L$92,"Hecho")</f>
        <v/>
      </c>
      <c r="H29" s="12">
        <f>COUNTIFS(Matriz!$G$2:$G$92,$A29,Matriz!$L$2:$L$92,"Bloqueado")</f>
        <v/>
      </c>
      <c r="I29" s="13">
        <f>IF(B29=0,0,G29/B29)</f>
        <v/>
      </c>
    </row>
    <row r="30">
      <c r="A30" s="11" t="inlineStr">
        <is>
          <t>—</t>
        </is>
      </c>
      <c r="B30" s="12">
        <f>COUNTIF(Matriz!$G$2:$G$92,$A30)</f>
        <v/>
      </c>
      <c r="C30" s="12">
        <f>COUNTIFS(Matriz!$G$2:$G$92,$A30,Matriz!$L$2:$L$92,"Pendiente")</f>
        <v/>
      </c>
      <c r="D30" s="12">
        <f>COUNTIFS(Matriz!$G$2:$G$92,$A30,Matriz!$L$2:$L$92,"En diseño")</f>
        <v/>
      </c>
      <c r="E30" s="12">
        <f>COUNTIFS(Matriz!$G$2:$G$92,$A30,Matriz!$L$2:$L$92,"En desarrollo")</f>
        <v/>
      </c>
      <c r="F30" s="12">
        <f>COUNTIFS(Matriz!$G$2:$G$92,$A30,Matriz!$L$2:$L$92,"En pruebas")</f>
        <v/>
      </c>
      <c r="G30" s="12">
        <f>COUNTIFS(Matriz!$G$2:$G$92,$A30,Matriz!$L$2:$L$92,"Hecho")</f>
        <v/>
      </c>
      <c r="H30" s="12">
        <f>COUNTIFS(Matriz!$G$2:$G$92,$A30,Matriz!$L$2:$L$92,"Bloqueado")</f>
        <v/>
      </c>
      <c r="I30" s="13">
        <f>IF(B30=0,0,G30/B30)</f>
        <v/>
      </c>
    </row>
    <row r="31">
      <c r="A31" s="14" t="inlineStr">
        <is>
          <t>Total</t>
        </is>
      </c>
      <c r="B31" s="15">
        <f>SUM(B24:B30)</f>
        <v/>
      </c>
      <c r="C31" s="15">
        <f>SUM(C24:C30)</f>
        <v/>
      </c>
      <c r="D31" s="15">
        <f>SUM(D24:D30)</f>
        <v/>
      </c>
      <c r="E31" s="15">
        <f>SUM(E24:E30)</f>
        <v/>
      </c>
      <c r="F31" s="15">
        <f>SUM(F24:F30)</f>
        <v/>
      </c>
      <c r="G31" s="15">
        <f>SUM(G24:G30)</f>
        <v/>
      </c>
      <c r="H31" s="15">
        <f>SUM(H24:H30)</f>
        <v/>
      </c>
      <c r="I31" s="16">
        <f>IF(B31=0,0,G31/B31)</f>
        <v/>
      </c>
    </row>
    <row r="34">
      <c r="A34" s="3" t="inlineStr">
        <is>
          <t>Validación de requerimientos</t>
        </is>
      </c>
      <c r="B34" s="4" t="n"/>
    </row>
    <row r="35">
      <c r="A35" s="11" t="inlineStr">
        <is>
          <t>VoBo pendiente</t>
        </is>
      </c>
      <c r="B35" s="12">
        <f>COUNTIF(Matriz!$K$2:$K$92,A35)</f>
        <v/>
      </c>
    </row>
    <row r="36">
      <c r="A36" s="11" t="inlineStr">
        <is>
          <t>Aprobado</t>
        </is>
      </c>
      <c r="B36" s="12">
        <f>COUNTIF(Matriz!$K$2:$K$92,A36)</f>
        <v/>
      </c>
    </row>
    <row r="37">
      <c r="A37" s="11" t="inlineStr">
        <is>
          <t>Por definir</t>
        </is>
      </c>
      <c r="B37" s="12">
        <f>COUNTIF(Matriz!$K$2:$K$92,A37)</f>
        <v/>
      </c>
    </row>
    <row r="38">
      <c r="A38" s="11" t="inlineStr">
        <is>
          <t>Rechazado</t>
        </is>
      </c>
      <c r="B38" s="12">
        <f>COUNTIF(Matriz!$K$2:$K$92,A38)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62" customWidth="1" min="3" max="3"/>
    <col width="16" customWidth="1" min="4" max="4"/>
    <col width="14" customWidth="1" min="5" max="5"/>
    <col width="11" customWidth="1" min="6" max="6"/>
    <col width="10" customWidth="1" min="7" max="7"/>
    <col width="24" customWidth="1" min="8" max="8"/>
    <col width="50" customWidth="1" min="9" max="9"/>
    <col width="50" customWidth="1" min="10" max="10"/>
    <col width="15" customWidth="1" min="11" max="11"/>
    <col width="14" customWidth="1" min="12" max="12"/>
    <col width="28" customWidth="1" min="13" max="13"/>
    <col width="30" customWidth="1" min="14" max="14"/>
  </cols>
  <sheetData>
    <row r="1" ht="34" customHeight="1">
      <c r="A1" s="17" t="inlineStr">
        <is>
          <t>ID</t>
        </is>
      </c>
      <c r="B1" s="17" t="inlineStr">
        <is>
          <t>Módulo</t>
        </is>
      </c>
      <c r="C1" s="17" t="inlineStr">
        <is>
          <t>Requerimiento</t>
        </is>
      </c>
      <c r="D1" s="17" t="inlineStr">
        <is>
          <t>Origen</t>
        </is>
      </c>
      <c r="E1" s="17" t="inlineStr">
        <is>
          <t>Alcance</t>
        </is>
      </c>
      <c r="F1" s="17" t="inlineStr">
        <is>
          <t>Fase</t>
        </is>
      </c>
      <c r="G1" s="17" t="inlineStr">
        <is>
          <t>Sprint</t>
        </is>
      </c>
      <c r="H1" s="17" t="inlineStr">
        <is>
          <t>Hito</t>
        </is>
      </c>
      <c r="I1" s="17" t="inlineStr">
        <is>
          <t>Historia de usuario (borrador)</t>
        </is>
      </c>
      <c r="J1" s="17" t="inlineStr">
        <is>
          <t>Criterio de aceptación / prueba (borrador)</t>
        </is>
      </c>
      <c r="K1" s="17" t="inlineStr">
        <is>
          <t>Validación</t>
        </is>
      </c>
      <c r="L1" s="17" t="inlineStr">
        <is>
          <t>Estado</t>
        </is>
      </c>
      <c r="M1" s="17" t="inlineStr">
        <is>
          <t>Evidencia</t>
        </is>
      </c>
      <c r="N1" s="17" t="inlineStr">
        <is>
          <t>Notas</t>
        </is>
      </c>
    </row>
    <row r="2">
      <c r="A2" s="18" t="inlineStr">
        <is>
          <t>CFG-01</t>
        </is>
      </c>
      <c r="B2" s="19" t="inlineStr">
        <is>
          <t>Configuración (low-code)</t>
        </is>
      </c>
      <c r="C2" s="19" t="inlineStr">
        <is>
          <t>Diseñador de formularios: crear, editar y deshabilitar campos en peticiones de oración y en los datos del expediente. Versión básica con tipos de campo comunes.</t>
        </is>
      </c>
      <c r="D2" s="19" t="inlineStr">
        <is>
          <t>v3 + Obs. 2</t>
        </is>
      </c>
      <c r="E2" s="19" t="inlineStr">
        <is>
          <t>MVP</t>
        </is>
      </c>
      <c r="F2" s="19" t="inlineStr">
        <is>
          <t>Fase 0</t>
        </is>
      </c>
      <c r="G2" s="19" t="inlineStr">
        <is>
          <t>Sprint 2</t>
        </is>
      </c>
      <c r="H2" s="19" t="inlineStr">
        <is>
          <t>H2 · Fase 0 completa</t>
        </is>
      </c>
      <c r="I2" s="19" t="inlineStr">
        <is>
          <t>Como administrador quiero crear y editar formularios sin programar para adaptar peticiones y datos del expediente.</t>
        </is>
      </c>
      <c r="J2" s="19" t="inlineStr">
        <is>
          <t>Crear un formulario con los tipos de campo básicos, guardarlo, deshabilitar un campo y comprobar que las respuestas previas se conservan.</t>
        </is>
      </c>
      <c r="K2" s="19" t="inlineStr">
        <is>
          <t>VoBo pendiente</t>
        </is>
      </c>
      <c r="L2" s="19" t="inlineStr">
        <is>
          <t>Pendiente</t>
        </is>
      </c>
      <c r="M2" s="19" t="inlineStr"/>
      <c r="N2" s="19" t="inlineStr"/>
    </row>
    <row r="3">
      <c r="A3" s="18" t="inlineStr">
        <is>
          <t>CFG-02</t>
        </is>
      </c>
      <c r="B3" s="19" t="inlineStr">
        <is>
          <t>Configuración (low-code)</t>
        </is>
      </c>
      <c r="C3" s="19" t="inlineStr">
        <is>
          <t>Layouts y pantallas customizables: vistas, secciones visibles y tableros según rol o departamento.</t>
        </is>
      </c>
      <c r="D3" s="19" t="inlineStr">
        <is>
          <t>v2</t>
        </is>
      </c>
      <c r="E3" s="19" t="inlineStr">
        <is>
          <t>Fuera del MVP</t>
        </is>
      </c>
      <c r="F3" s="19" t="inlineStr">
        <is>
          <t>Fase 5</t>
        </is>
      </c>
      <c r="G3" s="19" t="inlineStr">
        <is>
          <t>—</t>
        </is>
      </c>
      <c r="H3" s="19" t="inlineStr">
        <is>
          <t>Posterior</t>
        </is>
      </c>
      <c r="I3" s="20" t="inlineStr">
        <is>
          <t>Se define al iniciar la fase.</t>
        </is>
      </c>
      <c r="J3" s="20" t="inlineStr">
        <is>
          <t>Se define al iniciar la fase.</t>
        </is>
      </c>
      <c r="K3" s="19" t="inlineStr">
        <is>
          <t>VoBo pendiente</t>
        </is>
      </c>
      <c r="L3" s="19" t="inlineStr">
        <is>
          <t>Pendiente</t>
        </is>
      </c>
      <c r="M3" s="19" t="inlineStr"/>
      <c r="N3" s="19" t="inlineStr"/>
    </row>
    <row r="4">
      <c r="A4" s="18" t="inlineStr">
        <is>
          <t>CFG-03</t>
        </is>
      </c>
      <c r="B4" s="19" t="inlineStr">
        <is>
          <t>Configuración (low-code)</t>
        </is>
      </c>
      <c r="C4" s="19" t="inlineStr">
        <is>
          <t>Gestor de flujos y permisos: creación de roles, niveles de acceso y reglas de negocio desde un panel visual.</t>
        </is>
      </c>
      <c r="D4" s="19" t="inlineStr">
        <is>
          <t>v2</t>
        </is>
      </c>
      <c r="E4" s="19" t="inlineStr">
        <is>
          <t>Fuera del MVP</t>
        </is>
      </c>
      <c r="F4" s="19" t="inlineStr">
        <is>
          <t>Fase 5</t>
        </is>
      </c>
      <c r="G4" s="19" t="inlineStr">
        <is>
          <t>—</t>
        </is>
      </c>
      <c r="H4" s="19" t="inlineStr">
        <is>
          <t>Posterior</t>
        </is>
      </c>
      <c r="I4" s="20" t="inlineStr">
        <is>
          <t>Se define al iniciar la fase.</t>
        </is>
      </c>
      <c r="J4" s="20" t="inlineStr">
        <is>
          <t>Se define al iniciar la fase.</t>
        </is>
      </c>
      <c r="K4" s="19" t="inlineStr">
        <is>
          <t>VoBo pendiente</t>
        </is>
      </c>
      <c r="L4" s="19" t="inlineStr">
        <is>
          <t>Pendiente</t>
        </is>
      </c>
      <c r="M4" s="19" t="inlineStr"/>
      <c r="N4" s="19" t="inlineStr"/>
    </row>
    <row r="5">
      <c r="A5" s="18" t="inlineStr">
        <is>
          <t>CFG-04</t>
        </is>
      </c>
      <c r="B5" s="19" t="inlineStr">
        <is>
          <t>Configuración (low-code)</t>
        </is>
      </c>
      <c r="C5" s="19" t="inlineStr">
        <is>
          <t>Plantillas de notificación editables (avisos, recordatorios de reunión, activación de cuenta).</t>
        </is>
      </c>
      <c r="D5" s="19" t="inlineStr">
        <is>
          <t>v3</t>
        </is>
      </c>
      <c r="E5" s="19" t="inlineStr">
        <is>
          <t>MVP básico</t>
        </is>
      </c>
      <c r="F5" s="19" t="inlineStr">
        <is>
          <t>Fase 0</t>
        </is>
      </c>
      <c r="G5" s="19" t="inlineStr">
        <is>
          <t>Sprint 2</t>
        </is>
      </c>
      <c r="H5" s="19" t="inlineStr">
        <is>
          <t>H2 · Fase 0 completa</t>
        </is>
      </c>
      <c r="I5" s="19" t="inlineStr">
        <is>
          <t>Como administrador quiero editar los mensajes automáticos para ajustar el tono sin depender de TI.</t>
        </is>
      </c>
      <c r="J5" s="19" t="inlineStr">
        <is>
          <t>Editar una plantilla y verificar que el siguiente aviso usa el texto nuevo.</t>
        </is>
      </c>
      <c r="K5" s="19" t="inlineStr">
        <is>
          <t>VoBo pendiente</t>
        </is>
      </c>
      <c r="L5" s="19" t="inlineStr">
        <is>
          <t>Pendiente</t>
        </is>
      </c>
      <c r="M5" s="19" t="inlineStr"/>
      <c r="N5" s="19" t="inlineStr"/>
    </row>
    <row r="6">
      <c r="A6" s="18" t="inlineStr">
        <is>
          <t>CFG-05</t>
        </is>
      </c>
      <c r="B6" s="19" t="inlineStr">
        <is>
          <t>Configuración (low-code)</t>
        </is>
      </c>
      <c r="C6" s="19" t="inlineStr">
        <is>
          <t>Configurabilidad incremental: formularios primero; layouts y flujos avanzados después.</t>
        </is>
      </c>
      <c r="D6" s="19" t="inlineStr">
        <is>
          <t>v3</t>
        </is>
      </c>
      <c r="E6" s="19" t="inlineStr">
        <is>
          <t>MVP</t>
        </is>
      </c>
      <c r="F6" s="19" t="inlineStr">
        <is>
          <t>Fase 0</t>
        </is>
      </c>
      <c r="G6" s="19" t="inlineStr">
        <is>
          <t>Sprint 2</t>
        </is>
      </c>
      <c r="H6" s="19" t="inlineStr">
        <is>
          <t>H2 · Fase 0 completa</t>
        </is>
      </c>
      <c r="I6" s="19" t="inlineStr">
        <is>
          <t>Como equipo queremos entregar la configurabilidad por fases para reducir riesgo.</t>
        </is>
      </c>
      <c r="J6" s="19" t="inlineStr">
        <is>
          <t>El diseñador de formularios está disponible en el MVP; layouts y flujos avanzados quedan en el backlog de Fase 5.</t>
        </is>
      </c>
      <c r="K6" s="19" t="inlineStr">
        <is>
          <t>VoBo pendiente</t>
        </is>
      </c>
      <c r="L6" s="19" t="inlineStr">
        <is>
          <t>Pendiente</t>
        </is>
      </c>
      <c r="M6" s="19" t="inlineStr"/>
      <c r="N6" s="19" t="inlineStr"/>
    </row>
    <row r="7">
      <c r="A7" s="18" t="inlineStr">
        <is>
          <t>CFG-06</t>
        </is>
      </c>
      <c r="B7" s="19" t="inlineStr">
        <is>
          <t>Configuración (low-code)</t>
        </is>
      </c>
      <c r="C7" s="19" t="inlineStr">
        <is>
          <t>Modelo híbrido de formularios: tablas fijas para las entidades principales (Persona/EDU, Grupo, Reunión, Ofrenda) con campos personalizados añadidos por el diseñador, y formularios independientes cuyas respuestas se guardan de forma flexible.</t>
        </is>
      </c>
      <c r="D7" s="21" t="inlineStr">
        <is>
          <t>Obs. 2</t>
        </is>
      </c>
      <c r="E7" s="19" t="inlineStr">
        <is>
          <t>MVP</t>
        </is>
      </c>
      <c r="F7" s="19" t="inlineStr">
        <is>
          <t>Fase 0</t>
        </is>
      </c>
      <c r="G7" s="19" t="inlineStr">
        <is>
          <t>Sprint 2</t>
        </is>
      </c>
      <c r="H7" s="19" t="inlineStr">
        <is>
          <t>H2 · Fase 0 completa</t>
        </is>
      </c>
      <c r="I7" s="19" t="inlineStr">
        <is>
          <t>Como administrador quiero agregar campos personalizados a Persona, Grupo y Reunión para registrar lo que la iglesia necesita.</t>
        </is>
      </c>
      <c r="J7" s="19" t="inlineStr">
        <is>
          <t>Agregar un campo (ej. talla) a Persona; aparece en el formulario y se guarda sin alterar la estructura de la base.</t>
        </is>
      </c>
      <c r="K7" s="19" t="inlineStr">
        <is>
          <t>VoBo pendiente</t>
        </is>
      </c>
      <c r="L7" s="19" t="inlineStr">
        <is>
          <t>Pendiente</t>
        </is>
      </c>
      <c r="M7" s="19" t="inlineStr"/>
      <c r="N7" s="19" t="inlineStr"/>
    </row>
    <row r="8">
      <c r="A8" s="18" t="inlineStr">
        <is>
          <t>CFG-07</t>
        </is>
      </c>
      <c r="B8" s="19" t="inlineStr">
        <is>
          <t>Configuración (low-code)</t>
        </is>
      </c>
      <c r="C8" s="19" t="inlineStr">
        <is>
          <t>Campos de tipo «relación» (Persona/EDU, Grupo, Área) que conservan el vínculo por ID, para que reportes y estadísticas crucen formularios.</t>
        </is>
      </c>
      <c r="D8" s="21" t="inlineStr">
        <is>
          <t>Obs. 2</t>
        </is>
      </c>
      <c r="E8" s="19" t="inlineStr">
        <is>
          <t>MVP</t>
        </is>
      </c>
      <c r="F8" s="19" t="inlineStr">
        <is>
          <t>Fase 0</t>
        </is>
      </c>
      <c r="G8" s="19" t="inlineStr">
        <is>
          <t>Sprint 2</t>
        </is>
      </c>
      <c r="H8" s="19" t="inlineStr">
        <is>
          <t>H2 · Fase 0 completa</t>
        </is>
      </c>
      <c r="I8" s="19" t="inlineStr">
        <is>
          <t>Como administrador quiero campos que apunten a una Persona o Grupo para cruzar datos en reportes.</t>
        </is>
      </c>
      <c r="J8" s="19" t="inlineStr">
        <is>
          <t>Un campo de relación guarda el ID de la Persona y el reporte lo cruza con su grupo.</t>
        </is>
      </c>
      <c r="K8" s="19" t="inlineStr">
        <is>
          <t>VoBo pendiente</t>
        </is>
      </c>
      <c r="L8" s="19" t="inlineStr">
        <is>
          <t>Pendiente</t>
        </is>
      </c>
      <c r="M8" s="19" t="inlineStr"/>
      <c r="N8" s="19" t="inlineStr"/>
    </row>
    <row r="9">
      <c r="A9" s="18" t="inlineStr">
        <is>
          <t>CFG-08</t>
        </is>
      </c>
      <c r="B9" s="19" t="inlineStr">
        <is>
          <t>Configuración (low-code)</t>
        </is>
      </c>
      <c r="C9" s="19" t="inlineStr">
        <is>
          <t>Un campo nunca se borra, solo se deshabilita. Cada cambio del formulario genera versión. Los campos «reportables» se marcan para consultas y estadísticas.</t>
        </is>
      </c>
      <c r="D9" s="21" t="inlineStr">
        <is>
          <t>Obs. 2</t>
        </is>
      </c>
      <c r="E9" s="19" t="inlineStr">
        <is>
          <t>MVP</t>
        </is>
      </c>
      <c r="F9" s="19" t="inlineStr">
        <is>
          <t>Fase 0</t>
        </is>
      </c>
      <c r="G9" s="19" t="inlineStr">
        <is>
          <t>Sprint 2</t>
        </is>
      </c>
      <c r="H9" s="19" t="inlineStr">
        <is>
          <t>H2 · Fase 0 completa</t>
        </is>
      </c>
      <c r="I9" s="19" t="inlineStr">
        <is>
          <t>Como administrador quiero versionar los formularios para no perder respuestas antiguas.</t>
        </is>
      </c>
      <c r="J9" s="19" t="inlineStr">
        <is>
          <t>Deshabilitar un campo no borra respuestas; cada cambio crea versión; un campo reportable aparece en reportes.</t>
        </is>
      </c>
      <c r="K9" s="19" t="inlineStr">
        <is>
          <t>VoBo pendiente</t>
        </is>
      </c>
      <c r="L9" s="19" t="inlineStr">
        <is>
          <t>Pendiente</t>
        </is>
      </c>
      <c r="M9" s="19" t="inlineStr"/>
      <c r="N9" s="19" t="inlineStr"/>
    </row>
    <row r="10">
      <c r="A10" s="18" t="inlineStr">
        <is>
          <t>M1-01</t>
        </is>
      </c>
      <c r="B10" s="19" t="inlineStr">
        <is>
          <t>M1 Identidad y comunicación</t>
        </is>
      </c>
      <c r="C10" s="19" t="inlineStr">
        <is>
          <t>Expediente Digital Único (EDU) con foto, datos personales, historial de cursos, trayectoria de servicio e historial de grupos de conexión. En el MVP se llenan datos personales, foto y grupos.</t>
        </is>
      </c>
      <c r="D10" s="19" t="inlineStr">
        <is>
          <t>v3</t>
        </is>
      </c>
      <c r="E10" s="19" t="inlineStr">
        <is>
          <t>MVP</t>
        </is>
      </c>
      <c r="F10" s="19" t="inlineStr">
        <is>
          <t>Fase 0</t>
        </is>
      </c>
      <c r="G10" s="19" t="inlineStr">
        <is>
          <t>Sprint 1</t>
        </is>
      </c>
      <c r="H10" s="19" t="inlineStr">
        <is>
          <t>H1 · 18-oct (núcleo Fase 0)</t>
        </is>
      </c>
      <c r="I10" s="19" t="inlineStr">
        <is>
          <t>Como pastor quiero un expediente por persona con foto y datos para conocer a mi gente.</t>
        </is>
      </c>
      <c r="J10" s="19" t="inlineStr">
        <is>
          <t>Crear un EDU con foto, datos personales y grupo, y consultarlo con el rol adecuado.</t>
        </is>
      </c>
      <c r="K10" s="19" t="inlineStr">
        <is>
          <t>VoBo pendiente</t>
        </is>
      </c>
      <c r="L10" s="19" t="inlineStr">
        <is>
          <t>Pendiente</t>
        </is>
      </c>
      <c r="M10" s="19" t="inlineStr"/>
      <c r="N10" s="19" t="inlineStr"/>
    </row>
    <row r="11">
      <c r="A11" s="18" t="inlineStr">
        <is>
          <t>M1-02</t>
        </is>
      </c>
      <c r="B11" s="19" t="inlineStr">
        <is>
          <t>M1 Identidad y comunicación</t>
        </is>
      </c>
      <c r="C11" s="19" t="inlineStr">
        <is>
          <t>Los datos que se recaban en el EDU son configurables.</t>
        </is>
      </c>
      <c r="D11" s="19" t="inlineStr">
        <is>
          <t>v3</t>
        </is>
      </c>
      <c r="E11" s="19" t="inlineStr">
        <is>
          <t>MVP</t>
        </is>
      </c>
      <c r="F11" s="19" t="inlineStr">
        <is>
          <t>Fase 0</t>
        </is>
      </c>
      <c r="G11" s="19" t="inlineStr">
        <is>
          <t>Sprint 2</t>
        </is>
      </c>
      <c r="H11" s="19" t="inlineStr">
        <is>
          <t>H2 · Fase 0 completa</t>
        </is>
      </c>
      <c r="I11" s="19" t="inlineStr">
        <is>
          <t>Como administrador quiero definir qué datos se recaban en el expediente.</t>
        </is>
      </c>
      <c r="J11" s="19" t="inlineStr">
        <is>
          <t>Agregar un campo configurable al EDU y verlo en el alta (depende de CFG-06).</t>
        </is>
      </c>
      <c r="K11" s="19" t="inlineStr">
        <is>
          <t>VoBo pendiente</t>
        </is>
      </c>
      <c r="L11" s="19" t="inlineStr">
        <is>
          <t>Pendiente</t>
        </is>
      </c>
      <c r="M11" s="19" t="inlineStr"/>
      <c r="N11" s="19" t="inlineStr"/>
    </row>
    <row r="12">
      <c r="A12" s="18" t="inlineStr">
        <is>
          <t>M1-03</t>
        </is>
      </c>
      <c r="B12" s="19" t="inlineStr">
        <is>
          <t>M1 Identidad y comunicación</t>
        </is>
      </c>
      <c r="C12" s="19" t="inlineStr">
        <is>
          <t>Vínculo familiar y tutor–menor en el expediente, y lista de personas autorizadas a recoger a cada menor (insumo del módulo Kids).</t>
        </is>
      </c>
      <c r="D12" s="21" t="inlineStr">
        <is>
          <t>Nuevo v3</t>
        </is>
      </c>
      <c r="E12" s="19" t="inlineStr">
        <is>
          <t>Fuera del MVP</t>
        </is>
      </c>
      <c r="F12" s="19" t="inlineStr">
        <is>
          <t>Fase 2</t>
        </is>
      </c>
      <c r="G12" s="19" t="inlineStr">
        <is>
          <t>—</t>
        </is>
      </c>
      <c r="H12" s="19" t="inlineStr">
        <is>
          <t>Posterior</t>
        </is>
      </c>
      <c r="I12" s="20" t="inlineStr">
        <is>
          <t>Se define al iniciar la fase.</t>
        </is>
      </c>
      <c r="J12" s="20" t="inlineStr">
        <is>
          <t>Se define al iniciar la fase.</t>
        </is>
      </c>
      <c r="K12" s="19" t="inlineStr">
        <is>
          <t>VoBo pendiente</t>
        </is>
      </c>
      <c r="L12" s="19" t="inlineStr">
        <is>
          <t>Pendiente</t>
        </is>
      </c>
      <c r="M12" s="19" t="inlineStr"/>
      <c r="N12" s="19" t="inlineStr"/>
    </row>
    <row r="13">
      <c r="A13" s="18" t="inlineStr">
        <is>
          <t>M1-04</t>
        </is>
      </c>
      <c r="B13" s="19" t="inlineStr">
        <is>
          <t>M1 Identidad y comunicación</t>
        </is>
      </c>
      <c r="C13" s="19" t="inlineStr">
        <is>
          <t>Registro de bienes: vehículos y motos (placas, marca, modelo, color) u otros bienes personales traídos a la iglesia, asociados al expediente.</t>
        </is>
      </c>
      <c r="D13" s="19" t="inlineStr">
        <is>
          <t>v2</t>
        </is>
      </c>
      <c r="E13" s="19" t="inlineStr">
        <is>
          <t>Fuera del MVP</t>
        </is>
      </c>
      <c r="F13" s="19" t="inlineStr">
        <is>
          <t>Fase 5</t>
        </is>
      </c>
      <c r="G13" s="19" t="inlineStr">
        <is>
          <t>—</t>
        </is>
      </c>
      <c r="H13" s="19" t="inlineStr">
        <is>
          <t>Posterior</t>
        </is>
      </c>
      <c r="I13" s="20" t="inlineStr">
        <is>
          <t>Se define al iniciar la fase.</t>
        </is>
      </c>
      <c r="J13" s="20" t="inlineStr">
        <is>
          <t>Se define al iniciar la fase.</t>
        </is>
      </c>
      <c r="K13" s="19" t="inlineStr">
        <is>
          <t>VoBo pendiente</t>
        </is>
      </c>
      <c r="L13" s="19" t="inlineStr">
        <is>
          <t>Pendiente</t>
        </is>
      </c>
      <c r="M13" s="19" t="inlineStr"/>
      <c r="N13" s="19" t="inlineStr"/>
    </row>
    <row r="14">
      <c r="A14" s="18" t="inlineStr">
        <is>
          <t>M1-05</t>
        </is>
      </c>
      <c r="B14" s="19" t="inlineStr">
        <is>
          <t>M1 Identidad y comunicación</t>
        </is>
      </c>
      <c r="C14" s="19" t="inlineStr">
        <is>
          <t>Alertas rápidas: el personal de seguridad o ushers busca una placa y envía una notificación push prioritaria al propietario (auto mal estacionado, acceso bloqueado, etc.).</t>
        </is>
      </c>
      <c r="D14" s="19" t="inlineStr">
        <is>
          <t>v2</t>
        </is>
      </c>
      <c r="E14" s="19" t="inlineStr">
        <is>
          <t>Fuera del MVP</t>
        </is>
      </c>
      <c r="F14" s="19" t="inlineStr">
        <is>
          <t>Fase 5</t>
        </is>
      </c>
      <c r="G14" s="19" t="inlineStr">
        <is>
          <t>—</t>
        </is>
      </c>
      <c r="H14" s="19" t="inlineStr">
        <is>
          <t>Posterior</t>
        </is>
      </c>
      <c r="I14" s="20" t="inlineStr">
        <is>
          <t>Se define al iniciar la fase.</t>
        </is>
      </c>
      <c r="J14" s="20" t="inlineStr">
        <is>
          <t>Se define al iniciar la fase.</t>
        </is>
      </c>
      <c r="K14" s="19" t="inlineStr">
        <is>
          <t>VoBo pendiente</t>
        </is>
      </c>
      <c r="L14" s="19" t="inlineStr">
        <is>
          <t>Pendiente</t>
        </is>
      </c>
      <c r="M14" s="19" t="inlineStr"/>
      <c r="N14" s="19" t="inlineStr"/>
    </row>
    <row r="15">
      <c r="A15" s="18" t="inlineStr">
        <is>
          <t>M1-06</t>
        </is>
      </c>
      <c r="B15" s="19" t="inlineStr">
        <is>
          <t>M1 Identidad y comunicación</t>
        </is>
      </c>
      <c r="C15" s="19" t="inlineStr">
        <is>
          <t>Canal de respaldo para alertas cuando el propietario no tiene la app instalada o no concedió permisos de notificación (p. ej. WhatsApp o SMS). Por definir canal.</t>
        </is>
      </c>
      <c r="D15" s="21" t="inlineStr">
        <is>
          <t>Nuevo v3</t>
        </is>
      </c>
      <c r="E15" s="19" t="inlineStr">
        <is>
          <t>Fuera del MVP</t>
        </is>
      </c>
      <c r="F15" s="19" t="inlineStr">
        <is>
          <t>Fase 5</t>
        </is>
      </c>
      <c r="G15" s="19" t="inlineStr">
        <is>
          <t>—</t>
        </is>
      </c>
      <c r="H15" s="19" t="inlineStr">
        <is>
          <t>Posterior</t>
        </is>
      </c>
      <c r="I15" s="20" t="inlineStr">
        <is>
          <t>Se define al iniciar la fase.</t>
        </is>
      </c>
      <c r="J15" s="20" t="inlineStr">
        <is>
          <t>Se define al iniciar la fase.</t>
        </is>
      </c>
      <c r="K15" s="19" t="inlineStr">
        <is>
          <t>Por definir</t>
        </is>
      </c>
      <c r="L15" s="19" t="inlineStr">
        <is>
          <t>Pendiente</t>
        </is>
      </c>
      <c r="M15" s="19" t="inlineStr"/>
      <c r="N15" s="19" t="inlineStr"/>
    </row>
    <row r="16">
      <c r="A16" s="18" t="inlineStr">
        <is>
          <t>M1-07</t>
        </is>
      </c>
      <c r="B16" s="19" t="inlineStr">
        <is>
          <t>M1 Identidad y comunicación</t>
        </is>
      </c>
      <c r="C16" s="19" t="inlineStr">
        <is>
          <t>RBAC configurable con la jerarquía: Administrador Técnico, Pastor General, Ancianos (como Pastor, con limitantes en finanzas), Directores/Supervisores, Líderes/Maestros, Servidores, Miembro/Asistente.</t>
        </is>
      </c>
      <c r="D16" s="19" t="inlineStr">
        <is>
          <t>v3 + Resp. P8</t>
        </is>
      </c>
      <c r="E16" s="19" t="inlineStr">
        <is>
          <t>MVP</t>
        </is>
      </c>
      <c r="F16" s="19" t="inlineStr">
        <is>
          <t>Fase 0</t>
        </is>
      </c>
      <c r="G16" s="19" t="inlineStr">
        <is>
          <t>Sprint 1</t>
        </is>
      </c>
      <c r="H16" s="19" t="inlineStr">
        <is>
          <t>H1 · 18-oct (núcleo Fase 0)</t>
        </is>
      </c>
      <c r="I16" s="19" t="inlineStr">
        <is>
          <t>Como administrador quiero asignar roles con la jerarquía acordada para controlar accesos.</t>
        </is>
      </c>
      <c r="J16" s="19" t="inlineStr">
        <is>
          <t>Un Líder no accede a otro grupo; los Ancianos no ven finanzas; el Pastor ve todo.</t>
        </is>
      </c>
      <c r="K16" s="19" t="inlineStr">
        <is>
          <t>VoBo pendiente</t>
        </is>
      </c>
      <c r="L16" s="19" t="inlineStr">
        <is>
          <t>Pendiente</t>
        </is>
      </c>
      <c r="M16" s="19" t="inlineStr"/>
      <c r="N16" s="19" t="inlineStr"/>
    </row>
    <row r="17">
      <c r="A17" s="18" t="inlineStr">
        <is>
          <t>M1-08</t>
        </is>
      </c>
      <c r="B17" s="19" t="inlineStr">
        <is>
          <t>M1 Identidad y comunicación</t>
        </is>
      </c>
      <c r="C17" s="19" t="inlineStr">
        <is>
          <t>Permisos por área y por grupo. Requiere un catálogo mínimo de áreas (ver M5-01).</t>
        </is>
      </c>
      <c r="D17" s="19" t="inlineStr">
        <is>
          <t>v3</t>
        </is>
      </c>
      <c r="E17" s="19" t="inlineStr">
        <is>
          <t>MVP</t>
        </is>
      </c>
      <c r="F17" s="19" t="inlineStr">
        <is>
          <t>Fase 0</t>
        </is>
      </c>
      <c r="G17" s="19" t="inlineStr">
        <is>
          <t>Sprint 1</t>
        </is>
      </c>
      <c r="H17" s="19" t="inlineStr">
        <is>
          <t>H2 · Fase 0 completa</t>
        </is>
      </c>
      <c r="I17" s="19" t="inlineStr">
        <is>
          <t>Como director quiero permisos por área o grupo para acotar lo que ve cada servidor.</t>
        </is>
      </c>
      <c r="J17" s="19" t="inlineStr">
        <is>
          <t>Un permiso por grupo permite ver solo ese grupo.</t>
        </is>
      </c>
      <c r="K17" s="19" t="inlineStr">
        <is>
          <t>VoBo pendiente</t>
        </is>
      </c>
      <c r="L17" s="19" t="inlineStr">
        <is>
          <t>Pendiente</t>
        </is>
      </c>
      <c r="M17" s="19" t="inlineStr"/>
      <c r="N17" s="19" t="inlineStr"/>
    </row>
    <row r="18">
      <c r="A18" s="18" t="inlineStr">
        <is>
          <t>M1-09</t>
        </is>
      </c>
      <c r="B18" s="19" t="inlineStr">
        <is>
          <t>M1 Identidad y comunicación</t>
        </is>
      </c>
      <c r="C18" s="19" t="inlineStr">
        <is>
          <t>Avisos globales y notificaciones push segmentables por audiencia.</t>
        </is>
      </c>
      <c r="D18" s="19" t="inlineStr">
        <is>
          <t>v3</t>
        </is>
      </c>
      <c r="E18" s="19" t="inlineStr">
        <is>
          <t>MVP</t>
        </is>
      </c>
      <c r="F18" s="19" t="inlineStr">
        <is>
          <t>Fase 0</t>
        </is>
      </c>
      <c r="G18" s="19" t="inlineStr">
        <is>
          <t>Sprint 2</t>
        </is>
      </c>
      <c r="H18" s="19" t="inlineStr">
        <is>
          <t>H2 · Fase 0 completa</t>
        </is>
      </c>
      <c r="I18" s="19" t="inlineStr">
        <is>
          <t>Como pastor quiero enviar avisos segmentados para llegar a la audiencia correcta.</t>
        </is>
      </c>
      <c r="J18" s="19" t="inlineStr">
        <is>
          <t>Enviar un aviso a un grupo y verificar que solo sus integrantes lo reciben.</t>
        </is>
      </c>
      <c r="K18" s="19" t="inlineStr">
        <is>
          <t>VoBo pendiente</t>
        </is>
      </c>
      <c r="L18" s="19" t="inlineStr">
        <is>
          <t>Pendiente</t>
        </is>
      </c>
      <c r="M18" s="19" t="inlineStr"/>
      <c r="N18" s="19" t="inlineStr"/>
    </row>
    <row r="19">
      <c r="A19" s="18" t="inlineStr">
        <is>
          <t>M1-10</t>
        </is>
      </c>
      <c r="B19" s="19" t="inlineStr">
        <is>
          <t>M1 Identidad y comunicación</t>
        </is>
      </c>
      <c r="C19" s="19" t="inlineStr">
        <is>
          <t>Los avisos no son públicos. El visitante recibe por WhatsApp un enlace a un espacio con rol «Visitante» donde consulta avisos y eventos.</t>
        </is>
      </c>
      <c r="D19" s="19" t="inlineStr">
        <is>
          <t>v3 + Resp. P8</t>
        </is>
      </c>
      <c r="E19" s="19" t="inlineStr">
        <is>
          <t>MVP</t>
        </is>
      </c>
      <c r="F19" s="19" t="inlineStr">
        <is>
          <t>Fase 0</t>
        </is>
      </c>
      <c r="G19" s="19" t="inlineStr">
        <is>
          <t>Sprint 2</t>
        </is>
      </c>
      <c r="H19" s="19" t="inlineStr">
        <is>
          <t>H2 · Fase 0 completa</t>
        </is>
      </c>
      <c r="I19" s="19" t="inlineStr">
        <is>
          <t>Como visitante quiero consultar avisos y eventos desde un enlace sin ser miembro.</t>
        </is>
      </c>
      <c r="J19" s="19" t="inlineStr">
        <is>
          <t>Un Contacto abre el enlace de WhatsApp y ve avisos con rol Visitante, sin acceso a otros datos.</t>
        </is>
      </c>
      <c r="K19" s="19" t="inlineStr">
        <is>
          <t>VoBo pendiente</t>
        </is>
      </c>
      <c r="L19" s="19" t="inlineStr">
        <is>
          <t>Pendiente</t>
        </is>
      </c>
      <c r="M19" s="19" t="inlineStr"/>
      <c r="N19" s="19" t="inlineStr"/>
    </row>
    <row r="20">
      <c r="A20" s="18" t="inlineStr">
        <is>
          <t>M1-11</t>
        </is>
      </c>
      <c r="B20" s="19" t="inlineStr">
        <is>
          <t>M1 Identidad y comunicación</t>
        </is>
      </c>
      <c r="C20" s="19" t="inlineStr">
        <is>
          <t>Aviso de privacidad y consentimiento al registrar a cualquier persona, con consentimiento reforzado para foto y datos de menores.</t>
        </is>
      </c>
      <c r="D20" s="19" t="inlineStr">
        <is>
          <t>v3</t>
        </is>
      </c>
      <c r="E20" s="19" t="inlineStr">
        <is>
          <t>MVP</t>
        </is>
      </c>
      <c r="F20" s="19" t="inlineStr">
        <is>
          <t>Fase 0</t>
        </is>
      </c>
      <c r="G20" s="19" t="inlineStr">
        <is>
          <t>Sprint 1</t>
        </is>
      </c>
      <c r="H20" s="19" t="inlineStr">
        <is>
          <t>H1 · 18-oct (núcleo Fase 0)</t>
        </is>
      </c>
      <c r="I20" s="19" t="inlineStr">
        <is>
          <t>Como persona registrada quiero conocer y aceptar el aviso de privacidad.</t>
        </is>
      </c>
      <c r="J20" s="19" t="inlineStr">
        <is>
          <t>No se guarda un registro sin consentimiento; queda versión del aviso, fecha y alcance (foto, menores).</t>
        </is>
      </c>
      <c r="K20" s="19" t="inlineStr">
        <is>
          <t>VoBo pendiente</t>
        </is>
      </c>
      <c r="L20" s="19" t="inlineStr">
        <is>
          <t>Pendiente</t>
        </is>
      </c>
      <c r="M20" s="19" t="inlineStr"/>
      <c r="N20" s="19" t="inlineStr"/>
    </row>
    <row r="21">
      <c r="A21" s="18" t="inlineStr">
        <is>
          <t>M1-12</t>
        </is>
      </c>
      <c r="B21" s="19" t="inlineStr">
        <is>
          <t>M1 Identidad y comunicación</t>
        </is>
      </c>
      <c r="C21" s="19" t="inlineStr">
        <is>
          <t>Tres niveles de registro: Contacto (nombre, WhatsApp, procedencia, consentimiento), Participante y EDU completo. Un Contacto puede ascender a EDU sin duplicarse; el número de WhatsApp sirve para detectar duplicados.</t>
        </is>
      </c>
      <c r="D21" s="21" t="inlineStr">
        <is>
          <t>Obs. 3 y 10</t>
        </is>
      </c>
      <c r="E21" s="19" t="inlineStr">
        <is>
          <t>MVP</t>
        </is>
      </c>
      <c r="F21" s="19" t="inlineStr">
        <is>
          <t>Fase 0</t>
        </is>
      </c>
      <c r="G21" s="19" t="inlineStr">
        <is>
          <t>Sprint 1</t>
        </is>
      </c>
      <c r="H21" s="19" t="inlineStr">
        <is>
          <t>H1 · 18-oct (núcleo Fase 0)</t>
        </is>
      </c>
      <c r="I21" s="19" t="inlineStr">
        <is>
          <t>Como encargado de bienvenida quiero registrar a un visitante con nombre y WhatsApp para darle seguimiento.</t>
        </is>
      </c>
      <c r="J21" s="19" t="inlineStr">
        <is>
          <t>Registrar un Contacto; al ascender a EDU no se duplica; el mismo WhatsApp detecta duplicado.</t>
        </is>
      </c>
      <c r="K21" s="19" t="inlineStr">
        <is>
          <t>VoBo pendiente</t>
        </is>
      </c>
      <c r="L21" s="19" t="inlineStr">
        <is>
          <t>Pendiente</t>
        </is>
      </c>
      <c r="M21" s="19" t="inlineStr"/>
      <c r="N21" s="19" t="inlineStr"/>
    </row>
    <row r="22">
      <c r="A22" s="18" t="inlineStr">
        <is>
          <t>M1-13</t>
        </is>
      </c>
      <c r="B22" s="19" t="inlineStr">
        <is>
          <t>M1 Identidad y comunicación</t>
        </is>
      </c>
      <c r="C22" s="19" t="inlineStr">
        <is>
          <t>Atributo de procedencia: miembro de la iglesia local, invitado de grupo (no asiste a la iglesia), visitante de la iglesia o externo.</t>
        </is>
      </c>
      <c r="D22" s="21" t="inlineStr">
        <is>
          <t>Obs. 3</t>
        </is>
      </c>
      <c r="E22" s="19" t="inlineStr">
        <is>
          <t>MVP</t>
        </is>
      </c>
      <c r="F22" s="19" t="inlineStr">
        <is>
          <t>Fase 0</t>
        </is>
      </c>
      <c r="G22" s="19" t="inlineStr">
        <is>
          <t>Sprint 1</t>
        </is>
      </c>
      <c r="H22" s="19" t="inlineStr">
        <is>
          <t>H1 · 18-oct (núcleo Fase 0)</t>
        </is>
      </c>
      <c r="I22" s="19" t="inlineStr">
        <is>
          <t>Como pastor quiero saber la procedencia de cada persona.</t>
        </is>
      </c>
      <c r="J22" s="19" t="inlineStr">
        <is>
          <t>Valores: miembro, invitado de grupo, visitante y externo; se puede filtrar en listas.</t>
        </is>
      </c>
      <c r="K22" s="19" t="inlineStr">
        <is>
          <t>VoBo pendiente</t>
        </is>
      </c>
      <c r="L22" s="19" t="inlineStr">
        <is>
          <t>Pendiente</t>
        </is>
      </c>
      <c r="M22" s="19" t="inlineStr"/>
      <c r="N22" s="19" t="inlineStr"/>
    </row>
    <row r="23">
      <c r="A23" s="18" t="inlineStr">
        <is>
          <t>M1-14</t>
        </is>
      </c>
      <c r="B23" s="19" t="inlineStr">
        <is>
          <t>M1 Identidad y comunicación</t>
        </is>
      </c>
      <c r="C23" s="19" t="inlineStr">
        <is>
          <t>Bitácora de movimientos del EDU: altas, bajas, cambios de grupo o área, con fecha y motivo. Al dejar la iglesia solo se conservan fecha y motivo.</t>
        </is>
      </c>
      <c r="D23" s="21" t="inlineStr">
        <is>
          <t>Resp. P8</t>
        </is>
      </c>
      <c r="E23" s="19" t="inlineStr">
        <is>
          <t>MVP</t>
        </is>
      </c>
      <c r="F23" s="19" t="inlineStr">
        <is>
          <t>Fase 0</t>
        </is>
      </c>
      <c r="G23" s="19" t="inlineStr">
        <is>
          <t>Sprint 1</t>
        </is>
      </c>
      <c r="H23" s="19" t="inlineStr">
        <is>
          <t>H1 · 18-oct (núcleo Fase 0)</t>
        </is>
      </c>
      <c r="I23" s="19" t="inlineStr">
        <is>
          <t>Como pastor quiero un historial de altas, bajas y cambios con fecha y motivo.</t>
        </is>
      </c>
      <c r="J23" s="19" t="inlineStr">
        <is>
          <t>Una baja conserva solo fecha y motivo; el movimiento aparece en el historial del EDU.</t>
        </is>
      </c>
      <c r="K23" s="19" t="inlineStr">
        <is>
          <t>VoBo pendiente</t>
        </is>
      </c>
      <c r="L23" s="19" t="inlineStr">
        <is>
          <t>Pendiente</t>
        </is>
      </c>
      <c r="M23" s="19" t="inlineStr"/>
      <c r="N23" s="19" t="inlineStr"/>
    </row>
    <row r="24">
      <c r="A24" s="18" t="inlineStr">
        <is>
          <t>M1-16</t>
        </is>
      </c>
      <c r="B24" s="19" t="inlineStr">
        <is>
          <t>M1 Identidad y comunicación</t>
        </is>
      </c>
      <c r="C24" s="19" t="inlineStr">
        <is>
          <t>Control de modificaciones: solo roles definidos pueden modificar datos sensibles (ofrendas, asistencias). Toda consulta o modificación queda en bitácora.</t>
        </is>
      </c>
      <c r="D24" s="21" t="inlineStr">
        <is>
          <t>Obs. 5</t>
        </is>
      </c>
      <c r="E24" s="19" t="inlineStr">
        <is>
          <t>MVP</t>
        </is>
      </c>
      <c r="F24" s="19" t="inlineStr">
        <is>
          <t>Fase 0</t>
        </is>
      </c>
      <c r="G24" s="19" t="inlineStr">
        <is>
          <t>Sprint 1</t>
        </is>
      </c>
      <c r="H24" s="19" t="inlineStr">
        <is>
          <t>H1 · 18-oct (núcleo Fase 0)</t>
        </is>
      </c>
      <c r="I24" s="19" t="inlineStr">
        <is>
          <t>Como pastor quiero que solo ciertos roles modifiquen datos sensibles.</t>
        </is>
      </c>
      <c r="J24" s="19" t="inlineStr">
        <is>
          <t>Modificar una asistencia o una ofrenda exige rol autorizado y motivo, y queda en bitácora.</t>
        </is>
      </c>
      <c r="K24" s="19" t="inlineStr">
        <is>
          <t>VoBo pendiente</t>
        </is>
      </c>
      <c r="L24" s="19" t="inlineStr">
        <is>
          <t>Pendiente</t>
        </is>
      </c>
      <c r="M24" s="19" t="inlineStr"/>
      <c r="N24" s="19" t="inlineStr"/>
    </row>
    <row r="25">
      <c r="A25" s="18" t="inlineStr">
        <is>
          <t>M1-17</t>
        </is>
      </c>
      <c r="B25" s="19" t="inlineStr">
        <is>
          <t>M1 Identidad y comunicación</t>
        </is>
      </c>
      <c r="C25" s="19" t="inlineStr">
        <is>
          <t>Acceso con número de WhatsApp y PIN de 6 dígitos. La cuenta se activa con un enlace enviado por WhatsApp (sin costo). La recuperación del PIN se hace por SMS o con apoyo del líder o administrador.</t>
        </is>
      </c>
      <c r="D25" s="21" t="inlineStr">
        <is>
          <t>Nuevo v3.1</t>
        </is>
      </c>
      <c r="E25" s="19" t="inlineStr">
        <is>
          <t>MVP</t>
        </is>
      </c>
      <c r="F25" s="19" t="inlineStr">
        <is>
          <t>Fase 0</t>
        </is>
      </c>
      <c r="G25" s="19" t="inlineStr">
        <is>
          <t>Sprint 0</t>
        </is>
      </c>
      <c r="H25" s="19" t="inlineStr">
        <is>
          <t>H1 · 18-oct (núcleo Fase 0)</t>
        </is>
      </c>
      <c r="I25" s="19" t="inlineStr">
        <is>
          <t>Como usuario quiero entrar con mi WhatsApp y un PIN sencillo.</t>
        </is>
      </c>
      <c r="J25" s="19" t="inlineStr">
        <is>
          <t>Activar la cuenta con enlace, entrar con PIN de 6 dígitos, bloqueo tras intentos fallidos y recuperación por SMS.</t>
        </is>
      </c>
      <c r="K25" s="19" t="inlineStr">
        <is>
          <t>VoBo pendiente</t>
        </is>
      </c>
      <c r="L25" s="19" t="inlineStr">
        <is>
          <t>Pendiente</t>
        </is>
      </c>
      <c r="M25" s="19" t="inlineStr"/>
      <c r="N25" s="19" t="inlineStr"/>
    </row>
    <row r="26">
      <c r="A26" s="18" t="inlineStr">
        <is>
          <t>M1-18</t>
        </is>
      </c>
      <c r="B26" s="19" t="inlineStr">
        <is>
          <t>M1 Identidad y comunicación</t>
        </is>
      </c>
      <c r="C26" s="19" t="inlineStr">
        <is>
          <t>Contacto de seguimiento a visitantes: un responsable asignado y estado (nuevo, contactado, invitado a consolidación, se integró, no continuó).</t>
        </is>
      </c>
      <c r="D26" s="21" t="inlineStr">
        <is>
          <t>Obs. 10</t>
        </is>
      </c>
      <c r="E26" s="19" t="inlineStr">
        <is>
          <t>MVP mínimo</t>
        </is>
      </c>
      <c r="F26" s="19" t="inlineStr">
        <is>
          <t>Fase 0</t>
        </is>
      </c>
      <c r="G26" s="19" t="inlineStr">
        <is>
          <t>Sprint 2</t>
        </is>
      </c>
      <c r="H26" s="19" t="inlineStr">
        <is>
          <t>H2 · Fase 0 completa</t>
        </is>
      </c>
      <c r="I26" s="19" t="inlineStr">
        <is>
          <t>Como responsable de seguimiento quiero ver a quién contactar y en qué estado va.</t>
        </is>
      </c>
      <c r="J26" s="19" t="inlineStr">
        <is>
          <t>Un Contacto tiene responsable y estado; cada cambio de estado queda registrado.</t>
        </is>
      </c>
      <c r="K26" s="19" t="inlineStr">
        <is>
          <t>VoBo pendiente</t>
        </is>
      </c>
      <c r="L26" s="19" t="inlineStr">
        <is>
          <t>Pendiente</t>
        </is>
      </c>
      <c r="M26" s="19" t="inlineStr"/>
      <c r="N26" s="19" t="inlineStr"/>
    </row>
    <row r="27">
      <c r="A27" s="18" t="inlineStr">
        <is>
          <t>M1-19</t>
        </is>
      </c>
      <c r="B27" s="19" t="inlineStr">
        <is>
          <t>M1 Identidad y comunicación</t>
        </is>
      </c>
      <c r="C27" s="19" t="inlineStr">
        <is>
          <t>Dashboard y tablero de mensajes por módulo, construidos con un componente genérico reutilizable. En el MVP: Grupos de Conexión y vista general de Fase 0.</t>
        </is>
      </c>
      <c r="D27" s="21" t="inlineStr">
        <is>
          <t>Obs. 7</t>
        </is>
      </c>
      <c r="E27" s="19" t="inlineStr">
        <is>
          <t>MVP</t>
        </is>
      </c>
      <c r="F27" s="19" t="inlineStr">
        <is>
          <t>Fase 0</t>
        </is>
      </c>
      <c r="G27" s="19" t="inlineStr">
        <is>
          <t>Sprint 5</t>
        </is>
      </c>
      <c r="H27" s="19" t="inlineStr">
        <is>
          <t>H3 · MVP (Grupos)</t>
        </is>
      </c>
      <c r="I27" s="19" t="inlineStr">
        <is>
          <t>Como líder o supervisor quiero un dashboard y un tablero de mensajes en mi módulo.</t>
        </is>
      </c>
      <c r="J27" s="19" t="inlineStr">
        <is>
          <t>El módulo Grupos muestra dashboard y tablero con permisos por rol.</t>
        </is>
      </c>
      <c r="K27" s="19" t="inlineStr">
        <is>
          <t>VoBo pendiente</t>
        </is>
      </c>
      <c r="L27" s="19" t="inlineStr">
        <is>
          <t>Pendiente</t>
        </is>
      </c>
      <c r="M27" s="19" t="inlineStr"/>
      <c r="N27" s="19" t="inlineStr"/>
    </row>
    <row r="28">
      <c r="A28" s="18" t="inlineStr">
        <is>
          <t>M2A-01</t>
        </is>
      </c>
      <c r="B28" s="19" t="inlineStr">
        <is>
          <t>M2A Cursos de Vida</t>
        </is>
      </c>
      <c r="C28" s="19" t="inlineStr">
        <is>
          <t>Catálogo dinámico de cursos; se pueden crear nuevos sin intervención técnica. Incluye «Resolución de Varones» y «Toma de Buenas Decisiones», omitidos en v2.</t>
        </is>
      </c>
      <c r="D28" s="22" t="inlineStr">
        <is>
          <t>Recuperado v1</t>
        </is>
      </c>
      <c r="E28" s="19" t="inlineStr">
        <is>
          <t>Fuera del MVP</t>
        </is>
      </c>
      <c r="F28" s="19" t="inlineStr">
        <is>
          <t>Fase 3</t>
        </is>
      </c>
      <c r="G28" s="19" t="inlineStr">
        <is>
          <t>—</t>
        </is>
      </c>
      <c r="H28" s="19" t="inlineStr">
        <is>
          <t>Posterior</t>
        </is>
      </c>
      <c r="I28" s="20" t="inlineStr">
        <is>
          <t>Se define al iniciar la fase.</t>
        </is>
      </c>
      <c r="J28" s="20" t="inlineStr">
        <is>
          <t>Se define al iniciar la fase.</t>
        </is>
      </c>
      <c r="K28" s="19" t="inlineStr">
        <is>
          <t>VoBo pendiente</t>
        </is>
      </c>
      <c r="L28" s="19" t="inlineStr">
        <is>
          <t>Pendiente</t>
        </is>
      </c>
      <c r="M28" s="19" t="inlineStr"/>
      <c r="N28" s="19" t="inlineStr"/>
    </row>
    <row r="29">
      <c r="A29" s="18" t="inlineStr">
        <is>
          <t>M2A-02</t>
        </is>
      </c>
      <c r="B29" s="19" t="inlineStr">
        <is>
          <t>M2A Cursos de Vida</t>
        </is>
      </c>
      <c r="C29" s="19" t="inlineStr">
        <is>
          <t>Flexibilidad operativa: sin día ni horario fijo; el día y el ponente pueden cambiar entre ediciones.</t>
        </is>
      </c>
      <c r="D29" s="19" t="inlineStr">
        <is>
          <t>v1 / v2</t>
        </is>
      </c>
      <c r="E29" s="19" t="inlineStr">
        <is>
          <t>Fuera del MVP</t>
        </is>
      </c>
      <c r="F29" s="19" t="inlineStr">
        <is>
          <t>Fase 3</t>
        </is>
      </c>
      <c r="G29" s="19" t="inlineStr">
        <is>
          <t>—</t>
        </is>
      </c>
      <c r="H29" s="19" t="inlineStr">
        <is>
          <t>Posterior</t>
        </is>
      </c>
      <c r="I29" s="20" t="inlineStr">
        <is>
          <t>Se define al iniciar la fase.</t>
        </is>
      </c>
      <c r="J29" s="20" t="inlineStr">
        <is>
          <t>Se define al iniciar la fase.</t>
        </is>
      </c>
      <c r="K29" s="19" t="inlineStr">
        <is>
          <t>VoBo pendiente</t>
        </is>
      </c>
      <c r="L29" s="19" t="inlineStr">
        <is>
          <t>Pendiente</t>
        </is>
      </c>
      <c r="M29" s="19" t="inlineStr"/>
      <c r="N29" s="19" t="inlineStr"/>
    </row>
    <row r="30">
      <c r="A30" s="18" t="inlineStr">
        <is>
          <t>M2A-03</t>
        </is>
      </c>
      <c r="B30" s="19" t="inlineStr">
        <is>
          <t>M2A Cursos de Vida</t>
        </is>
      </c>
      <c r="C30" s="19" t="inlineStr">
        <is>
          <t>Reposición de clases: el inscrito puede reponer en otro grupo o con otro ponente, a decisión de quien imparte.</t>
        </is>
      </c>
      <c r="D30" s="19" t="inlineStr">
        <is>
          <t>v1 / v2</t>
        </is>
      </c>
      <c r="E30" s="19" t="inlineStr">
        <is>
          <t>Fuera del MVP</t>
        </is>
      </c>
      <c r="F30" s="19" t="inlineStr">
        <is>
          <t>Fase 3</t>
        </is>
      </c>
      <c r="G30" s="19" t="inlineStr">
        <is>
          <t>—</t>
        </is>
      </c>
      <c r="H30" s="19" t="inlineStr">
        <is>
          <t>Posterior</t>
        </is>
      </c>
      <c r="I30" s="20" t="inlineStr">
        <is>
          <t>Se define al iniciar la fase.</t>
        </is>
      </c>
      <c r="J30" s="20" t="inlineStr">
        <is>
          <t>Se define al iniciar la fase.</t>
        </is>
      </c>
      <c r="K30" s="19" t="inlineStr">
        <is>
          <t>VoBo pendiente</t>
        </is>
      </c>
      <c r="L30" s="19" t="inlineStr">
        <is>
          <t>Pendiente</t>
        </is>
      </c>
      <c r="M30" s="19" t="inlineStr"/>
      <c r="N30" s="19" t="inlineStr"/>
    </row>
    <row r="31">
      <c r="A31" s="18" t="inlineStr">
        <is>
          <t>M2A-04</t>
        </is>
      </c>
      <c r="B31" s="19" t="inlineStr">
        <is>
          <t>M2A Cursos de Vida</t>
        </is>
      </c>
      <c r="C31" s="19" t="inlineStr">
        <is>
          <t>Registro de asistencia por sesión.</t>
        </is>
      </c>
      <c r="D31" s="19" t="inlineStr">
        <is>
          <t>v1 / v2</t>
        </is>
      </c>
      <c r="E31" s="19" t="inlineStr">
        <is>
          <t>Fuera del MVP</t>
        </is>
      </c>
      <c r="F31" s="19" t="inlineStr">
        <is>
          <t>Fase 3</t>
        </is>
      </c>
      <c r="G31" s="19" t="inlineStr">
        <is>
          <t>—</t>
        </is>
      </c>
      <c r="H31" s="19" t="inlineStr">
        <is>
          <t>Posterior</t>
        </is>
      </c>
      <c r="I31" s="20" t="inlineStr">
        <is>
          <t>Se define al iniciar la fase.</t>
        </is>
      </c>
      <c r="J31" s="20" t="inlineStr">
        <is>
          <t>Se define al iniciar la fase.</t>
        </is>
      </c>
      <c r="K31" s="19" t="inlineStr">
        <is>
          <t>VoBo pendiente</t>
        </is>
      </c>
      <c r="L31" s="19" t="inlineStr">
        <is>
          <t>Pendiente</t>
        </is>
      </c>
      <c r="M31" s="19" t="inlineStr"/>
      <c r="N31" s="19" t="inlineStr"/>
    </row>
    <row r="32">
      <c r="A32" s="18" t="inlineStr">
        <is>
          <t>M2A-05</t>
        </is>
      </c>
      <c r="B32" s="19" t="inlineStr">
        <is>
          <t>M2A Cursos de Vida</t>
        </is>
      </c>
      <c r="C32" s="19" t="inlineStr">
        <is>
          <t>Seguimiento de tareas o actividades opcionales (no sumativas).</t>
        </is>
      </c>
      <c r="D32" s="19" t="inlineStr">
        <is>
          <t>v1 / v2</t>
        </is>
      </c>
      <c r="E32" s="19" t="inlineStr">
        <is>
          <t>Fuera del MVP</t>
        </is>
      </c>
      <c r="F32" s="19" t="inlineStr">
        <is>
          <t>Fase 3</t>
        </is>
      </c>
      <c r="G32" s="19" t="inlineStr">
        <is>
          <t>—</t>
        </is>
      </c>
      <c r="H32" s="19" t="inlineStr">
        <is>
          <t>Posterior</t>
        </is>
      </c>
      <c r="I32" s="20" t="inlineStr">
        <is>
          <t>Se define al iniciar la fase.</t>
        </is>
      </c>
      <c r="J32" s="20" t="inlineStr">
        <is>
          <t>Se define al iniciar la fase.</t>
        </is>
      </c>
      <c r="K32" s="19" t="inlineStr">
        <is>
          <t>VoBo pendiente</t>
        </is>
      </c>
      <c r="L32" s="19" t="inlineStr">
        <is>
          <t>Pendiente</t>
        </is>
      </c>
      <c r="M32" s="19" t="inlineStr"/>
      <c r="N32" s="19" t="inlineStr"/>
    </row>
    <row r="33">
      <c r="A33" s="18" t="inlineStr">
        <is>
          <t>M2A-06</t>
        </is>
      </c>
      <c r="B33" s="19" t="inlineStr">
        <is>
          <t>M2A Cursos de Vida</t>
        </is>
      </c>
      <c r="C33" s="19" t="inlineStr">
        <is>
          <t>Inscripción: quién se inscribe, cuándo lo hizo, si tiene adeudo y qué incluye el costo (materiales, hospedaje, etc.).</t>
        </is>
      </c>
      <c r="D33" s="19" t="inlineStr">
        <is>
          <t>v1 / v2</t>
        </is>
      </c>
      <c r="E33" s="19" t="inlineStr">
        <is>
          <t>Fuera del MVP</t>
        </is>
      </c>
      <c r="F33" s="19" t="inlineStr">
        <is>
          <t>Fase 3</t>
        </is>
      </c>
      <c r="G33" s="19" t="inlineStr">
        <is>
          <t>—</t>
        </is>
      </c>
      <c r="H33" s="19" t="inlineStr">
        <is>
          <t>Posterior</t>
        </is>
      </c>
      <c r="I33" s="20" t="inlineStr">
        <is>
          <t>Se define al iniciar la fase.</t>
        </is>
      </c>
      <c r="J33" s="20" t="inlineStr">
        <is>
          <t>Se define al iniciar la fase.</t>
        </is>
      </c>
      <c r="K33" s="19" t="inlineStr">
        <is>
          <t>VoBo pendiente</t>
        </is>
      </c>
      <c r="L33" s="19" t="inlineStr">
        <is>
          <t>Pendiente</t>
        </is>
      </c>
      <c r="M33" s="19" t="inlineStr"/>
      <c r="N33" s="19" t="inlineStr"/>
    </row>
    <row r="34">
      <c r="A34" s="18" t="inlineStr">
        <is>
          <t>M2A-07</t>
        </is>
      </c>
      <c r="B34" s="19" t="inlineStr">
        <is>
          <t>M2A Cursos de Vida</t>
        </is>
      </c>
      <c r="C34" s="19" t="inlineStr">
        <is>
          <t>Registro de pagos, saldo de adeudos y recibo. Por definir: captura manual vs. pasarela de pago, y si se requiere corte de caja.</t>
        </is>
      </c>
      <c r="D34" s="21" t="inlineStr">
        <is>
          <t>Nuevo v3</t>
        </is>
      </c>
      <c r="E34" s="19" t="inlineStr">
        <is>
          <t>Fuera del MVP</t>
        </is>
      </c>
      <c r="F34" s="19" t="inlineStr">
        <is>
          <t>Fase 3</t>
        </is>
      </c>
      <c r="G34" s="19" t="inlineStr">
        <is>
          <t>—</t>
        </is>
      </c>
      <c r="H34" s="19" t="inlineStr">
        <is>
          <t>Posterior</t>
        </is>
      </c>
      <c r="I34" s="20" t="inlineStr">
        <is>
          <t>Se define al iniciar la fase.</t>
        </is>
      </c>
      <c r="J34" s="20" t="inlineStr">
        <is>
          <t>Se define al iniciar la fase.</t>
        </is>
      </c>
      <c r="K34" s="19" t="inlineStr">
        <is>
          <t>Por definir</t>
        </is>
      </c>
      <c r="L34" s="19" t="inlineStr">
        <is>
          <t>Pendiente</t>
        </is>
      </c>
      <c r="M34" s="19" t="inlineStr"/>
      <c r="N34" s="19" t="inlineStr"/>
    </row>
    <row r="35">
      <c r="A35" s="18" t="inlineStr">
        <is>
          <t>M2A-08</t>
        </is>
      </c>
      <c r="B35" s="19" t="inlineStr">
        <is>
          <t>M2A Cursos de Vida</t>
        </is>
      </c>
      <c r="C35" s="19" t="inlineStr">
        <is>
          <t>Tablero del curso tipo mensajería para avisos antes del curso y días posteriores, con notificación a los inscritos.</t>
        </is>
      </c>
      <c r="D35" s="22" t="inlineStr">
        <is>
          <t>Recuperado v1</t>
        </is>
      </c>
      <c r="E35" s="19" t="inlineStr">
        <is>
          <t>Fuera del MVP</t>
        </is>
      </c>
      <c r="F35" s="19" t="inlineStr">
        <is>
          <t>Fase 3</t>
        </is>
      </c>
      <c r="G35" s="19" t="inlineStr">
        <is>
          <t>—</t>
        </is>
      </c>
      <c r="H35" s="19" t="inlineStr">
        <is>
          <t>Posterior</t>
        </is>
      </c>
      <c r="I35" s="20" t="inlineStr">
        <is>
          <t>Se define al iniciar la fase.</t>
        </is>
      </c>
      <c r="J35" s="20" t="inlineStr">
        <is>
          <t>Se define al iniciar la fase.</t>
        </is>
      </c>
      <c r="K35" s="19" t="inlineStr">
        <is>
          <t>VoBo pendiente</t>
        </is>
      </c>
      <c r="L35" s="19" t="inlineStr">
        <is>
          <t>Pendiente</t>
        </is>
      </c>
      <c r="M35" s="19" t="inlineStr"/>
      <c r="N35" s="19" t="inlineStr"/>
    </row>
    <row r="36">
      <c r="A36" s="18" t="inlineStr">
        <is>
          <t>M2A-09</t>
        </is>
      </c>
      <c r="B36" s="19" t="inlineStr">
        <is>
          <t>M2A Cursos de Vida</t>
        </is>
      </c>
      <c r="C36" s="19" t="inlineStr">
        <is>
          <t>Evaluación docente configurable: formulario diseñable (tipo Google Forms) aplicado al finalizar el curso.</t>
        </is>
      </c>
      <c r="D36" s="19" t="inlineStr">
        <is>
          <t>v1 / v2</t>
        </is>
      </c>
      <c r="E36" s="19" t="inlineStr">
        <is>
          <t>Fuera del MVP</t>
        </is>
      </c>
      <c r="F36" s="19" t="inlineStr">
        <is>
          <t>Fase 3</t>
        </is>
      </c>
      <c r="G36" s="19" t="inlineStr">
        <is>
          <t>—</t>
        </is>
      </c>
      <c r="H36" s="19" t="inlineStr">
        <is>
          <t>Posterior</t>
        </is>
      </c>
      <c r="I36" s="20" t="inlineStr">
        <is>
          <t>Se define al iniciar la fase.</t>
        </is>
      </c>
      <c r="J36" s="20" t="inlineStr">
        <is>
          <t>Se define al iniciar la fase.</t>
        </is>
      </c>
      <c r="K36" s="19" t="inlineStr">
        <is>
          <t>VoBo pendiente</t>
        </is>
      </c>
      <c r="L36" s="19" t="inlineStr">
        <is>
          <t>Pendiente</t>
        </is>
      </c>
      <c r="M36" s="19" t="inlineStr"/>
      <c r="N36" s="19" t="inlineStr"/>
    </row>
    <row r="37">
      <c r="A37" s="18" t="inlineStr">
        <is>
          <t>M2A-10</t>
        </is>
      </c>
      <c r="B37" s="19" t="inlineStr">
        <is>
          <t>M2A Cursos de Vida</t>
        </is>
      </c>
      <c r="C37" s="19" t="inlineStr">
        <is>
          <t>Evolución del ponente: historial de evaluaciones por ponente a lo largo del tiempo y entre ediciones.</t>
        </is>
      </c>
      <c r="D37" s="22" t="inlineStr">
        <is>
          <t>Recuperado v1</t>
        </is>
      </c>
      <c r="E37" s="19" t="inlineStr">
        <is>
          <t>Fuera del MVP</t>
        </is>
      </c>
      <c r="F37" s="19" t="inlineStr">
        <is>
          <t>Fase 3</t>
        </is>
      </c>
      <c r="G37" s="19" t="inlineStr">
        <is>
          <t>—</t>
        </is>
      </c>
      <c r="H37" s="19" t="inlineStr">
        <is>
          <t>Posterior</t>
        </is>
      </c>
      <c r="I37" s="20" t="inlineStr">
        <is>
          <t>Se define al iniciar la fase.</t>
        </is>
      </c>
      <c r="J37" s="20" t="inlineStr">
        <is>
          <t>Se define al iniciar la fase.</t>
        </is>
      </c>
      <c r="K37" s="19" t="inlineStr">
        <is>
          <t>VoBo pendiente</t>
        </is>
      </c>
      <c r="L37" s="19" t="inlineStr">
        <is>
          <t>Pendiente</t>
        </is>
      </c>
      <c r="M37" s="19" t="inlineStr"/>
      <c r="N37" s="19" t="inlineStr"/>
    </row>
    <row r="38">
      <c r="A38" s="18" t="inlineStr">
        <is>
          <t>M2A-11</t>
        </is>
      </c>
      <c r="B38" s="19" t="inlineStr">
        <is>
          <t>M2A Cursos de Vida</t>
        </is>
      </c>
      <c r="C38" s="19" t="inlineStr">
        <is>
          <t>Reconocimiento de participación (diploma) opcional por curso.</t>
        </is>
      </c>
      <c r="D38" s="19" t="inlineStr">
        <is>
          <t>v1 / v2</t>
        </is>
      </c>
      <c r="E38" s="19" t="inlineStr">
        <is>
          <t>Fuera del MVP</t>
        </is>
      </c>
      <c r="F38" s="19" t="inlineStr">
        <is>
          <t>Fase 3</t>
        </is>
      </c>
      <c r="G38" s="19" t="inlineStr">
        <is>
          <t>—</t>
        </is>
      </c>
      <c r="H38" s="19" t="inlineStr">
        <is>
          <t>Posterior</t>
        </is>
      </c>
      <c r="I38" s="20" t="inlineStr">
        <is>
          <t>Se define al iniciar la fase.</t>
        </is>
      </c>
      <c r="J38" s="20" t="inlineStr">
        <is>
          <t>Se define al iniciar la fase.</t>
        </is>
      </c>
      <c r="K38" s="19" t="inlineStr">
        <is>
          <t>VoBo pendiente</t>
        </is>
      </c>
      <c r="L38" s="19" t="inlineStr">
        <is>
          <t>Pendiente</t>
        </is>
      </c>
      <c r="M38" s="19" t="inlineStr"/>
      <c r="N38" s="19" t="inlineStr"/>
    </row>
    <row r="39">
      <c r="A39" s="18" t="inlineStr">
        <is>
          <t>M2B-01</t>
        </is>
      </c>
      <c r="B39" s="19" t="inlineStr">
        <is>
          <t>M2B Cursos escolarizados</t>
        </is>
      </c>
      <c r="C39" s="19" t="inlineStr">
        <is>
          <t>Control riguroso de asistencia.</t>
        </is>
      </c>
      <c r="D39" s="19" t="inlineStr">
        <is>
          <t>v1 / v2</t>
        </is>
      </c>
      <c r="E39" s="19" t="inlineStr">
        <is>
          <t>Fuera del MVP</t>
        </is>
      </c>
      <c r="F39" s="19" t="inlineStr">
        <is>
          <t>Fase 3</t>
        </is>
      </c>
      <c r="G39" s="19" t="inlineStr">
        <is>
          <t>—</t>
        </is>
      </c>
      <c r="H39" s="19" t="inlineStr">
        <is>
          <t>Posterior</t>
        </is>
      </c>
      <c r="I39" s="20" t="inlineStr">
        <is>
          <t>Se define al iniciar la fase.</t>
        </is>
      </c>
      <c r="J39" s="20" t="inlineStr">
        <is>
          <t>Se define al iniciar la fase.</t>
        </is>
      </c>
      <c r="K39" s="19" t="inlineStr">
        <is>
          <t>VoBo pendiente</t>
        </is>
      </c>
      <c r="L39" s="19" t="inlineStr">
        <is>
          <t>Pendiente</t>
        </is>
      </c>
      <c r="M39" s="19" t="inlineStr"/>
      <c r="N39" s="19" t="inlineStr"/>
    </row>
    <row r="40">
      <c r="A40" s="18" t="inlineStr">
        <is>
          <t>M2B-02</t>
        </is>
      </c>
      <c r="B40" s="19" t="inlineStr">
        <is>
          <t>M2B Cursos escolarizados</t>
        </is>
      </c>
      <c r="C40" s="19" t="inlineStr">
        <is>
          <t>Entrega de tareas y trabajos continuos (incluidos trabajos extra).</t>
        </is>
      </c>
      <c r="D40" s="19" t="inlineStr">
        <is>
          <t>v1 / v2</t>
        </is>
      </c>
      <c r="E40" s="19" t="inlineStr">
        <is>
          <t>Fuera del MVP</t>
        </is>
      </c>
      <c r="F40" s="19" t="inlineStr">
        <is>
          <t>Fase 3</t>
        </is>
      </c>
      <c r="G40" s="19" t="inlineStr">
        <is>
          <t>—</t>
        </is>
      </c>
      <c r="H40" s="19" t="inlineStr">
        <is>
          <t>Posterior</t>
        </is>
      </c>
      <c r="I40" s="20" t="inlineStr">
        <is>
          <t>Se define al iniciar la fase.</t>
        </is>
      </c>
      <c r="J40" s="20" t="inlineStr">
        <is>
          <t>Se define al iniciar la fase.</t>
        </is>
      </c>
      <c r="K40" s="19" t="inlineStr">
        <is>
          <t>VoBo pendiente</t>
        </is>
      </c>
      <c r="L40" s="19" t="inlineStr">
        <is>
          <t>Pendiente</t>
        </is>
      </c>
      <c r="M40" s="19" t="inlineStr"/>
      <c r="N40" s="19" t="inlineStr"/>
    </row>
    <row r="41">
      <c r="A41" s="18" t="inlineStr">
        <is>
          <t>M2B-03</t>
        </is>
      </c>
      <c r="B41" s="19" t="inlineStr">
        <is>
          <t>M2B Cursos escolarizados</t>
        </is>
      </c>
      <c r="C41" s="19" t="inlineStr">
        <is>
          <t>Ponderación de calificaciones y exámenes finales.</t>
        </is>
      </c>
      <c r="D41" s="19" t="inlineStr">
        <is>
          <t>v1 / v2</t>
        </is>
      </c>
      <c r="E41" s="19" t="inlineStr">
        <is>
          <t>Fuera del MVP</t>
        </is>
      </c>
      <c r="F41" s="19" t="inlineStr">
        <is>
          <t>Fase 3</t>
        </is>
      </c>
      <c r="G41" s="19" t="inlineStr">
        <is>
          <t>—</t>
        </is>
      </c>
      <c r="H41" s="19" t="inlineStr">
        <is>
          <t>Posterior</t>
        </is>
      </c>
      <c r="I41" s="20" t="inlineStr">
        <is>
          <t>Se define al iniciar la fase.</t>
        </is>
      </c>
      <c r="J41" s="20" t="inlineStr">
        <is>
          <t>Se define al iniciar la fase.</t>
        </is>
      </c>
      <c r="K41" s="19" t="inlineStr">
        <is>
          <t>VoBo pendiente</t>
        </is>
      </c>
      <c r="L41" s="19" t="inlineStr">
        <is>
          <t>Pendiente</t>
        </is>
      </c>
      <c r="M41" s="19" t="inlineStr"/>
      <c r="N41" s="19" t="inlineStr"/>
    </row>
    <row r="42">
      <c r="A42" s="18" t="inlineStr">
        <is>
          <t>M2B-04</t>
        </is>
      </c>
      <c r="B42" s="19" t="inlineStr">
        <is>
          <t>M2B Cursos escolarizados</t>
        </is>
      </c>
      <c r="C42" s="19" t="inlineStr">
        <is>
          <t>Creador de exámenes en línea: opción múltiple, preguntas abiertas, falso/verdadero y respuesta corta.</t>
        </is>
      </c>
      <c r="D42" s="19" t="inlineStr">
        <is>
          <t>v2</t>
        </is>
      </c>
      <c r="E42" s="19" t="inlineStr">
        <is>
          <t>Fuera del MVP</t>
        </is>
      </c>
      <c r="F42" s="19" t="inlineStr">
        <is>
          <t>Fase 3</t>
        </is>
      </c>
      <c r="G42" s="19" t="inlineStr">
        <is>
          <t>—</t>
        </is>
      </c>
      <c r="H42" s="19" t="inlineStr">
        <is>
          <t>Posterior</t>
        </is>
      </c>
      <c r="I42" s="20" t="inlineStr">
        <is>
          <t>Se define al iniciar la fase.</t>
        </is>
      </c>
      <c r="J42" s="20" t="inlineStr">
        <is>
          <t>Se define al iniciar la fase.</t>
        </is>
      </c>
      <c r="K42" s="19" t="inlineStr">
        <is>
          <t>VoBo pendiente</t>
        </is>
      </c>
      <c r="L42" s="19" t="inlineStr">
        <is>
          <t>Pendiente</t>
        </is>
      </c>
      <c r="M42" s="19" t="inlineStr"/>
      <c r="N42" s="19" t="inlineStr"/>
    </row>
    <row r="43">
      <c r="A43" s="18" t="inlineStr">
        <is>
          <t>M2B-05</t>
        </is>
      </c>
      <c r="B43" s="19" t="inlineStr">
        <is>
          <t>M2B Cursos escolarizados</t>
        </is>
      </c>
      <c r="C43" s="19" t="inlineStr">
        <is>
          <t>Boleta digital con el formato definido por la iglesia. Por definir: formato oficial de la boleta.</t>
        </is>
      </c>
      <c r="D43" s="19" t="inlineStr">
        <is>
          <t>v1 / v2</t>
        </is>
      </c>
      <c r="E43" s="19" t="inlineStr">
        <is>
          <t>Fuera del MVP</t>
        </is>
      </c>
      <c r="F43" s="19" t="inlineStr">
        <is>
          <t>Fase 3</t>
        </is>
      </c>
      <c r="G43" s="19" t="inlineStr">
        <is>
          <t>—</t>
        </is>
      </c>
      <c r="H43" s="19" t="inlineStr">
        <is>
          <t>Posterior</t>
        </is>
      </c>
      <c r="I43" s="20" t="inlineStr">
        <is>
          <t>Se define al iniciar la fase.</t>
        </is>
      </c>
      <c r="J43" s="20" t="inlineStr">
        <is>
          <t>Se define al iniciar la fase.</t>
        </is>
      </c>
      <c r="K43" s="19" t="inlineStr">
        <is>
          <t>Por definir</t>
        </is>
      </c>
      <c r="L43" s="19" t="inlineStr">
        <is>
          <t>Pendiente</t>
        </is>
      </c>
      <c r="M43" s="19" t="inlineStr"/>
      <c r="N43" s="19" t="inlineStr"/>
    </row>
    <row r="44">
      <c r="A44" s="18" t="inlineStr">
        <is>
          <t>M2B-06</t>
        </is>
      </c>
      <c r="B44" s="19" t="inlineStr">
        <is>
          <t>M2B Cursos escolarizados</t>
        </is>
      </c>
      <c r="C44" s="19" t="inlineStr">
        <is>
          <t>Historial académico permanente en el Expediente Digital, aunque cambie el maestro o el alumno pierda su comprobante.</t>
        </is>
      </c>
      <c r="D44" s="19" t="inlineStr">
        <is>
          <t>v2</t>
        </is>
      </c>
      <c r="E44" s="19" t="inlineStr">
        <is>
          <t>Fuera del MVP</t>
        </is>
      </c>
      <c r="F44" s="19" t="inlineStr">
        <is>
          <t>Fase 3</t>
        </is>
      </c>
      <c r="G44" s="19" t="inlineStr">
        <is>
          <t>—</t>
        </is>
      </c>
      <c r="H44" s="19" t="inlineStr">
        <is>
          <t>Posterior</t>
        </is>
      </c>
      <c r="I44" s="20" t="inlineStr">
        <is>
          <t>Se define al iniciar la fase.</t>
        </is>
      </c>
      <c r="J44" s="20" t="inlineStr">
        <is>
          <t>Se define al iniciar la fase.</t>
        </is>
      </c>
      <c r="K44" s="19" t="inlineStr">
        <is>
          <t>VoBo pendiente</t>
        </is>
      </c>
      <c r="L44" s="19" t="inlineStr">
        <is>
          <t>Pendiente</t>
        </is>
      </c>
      <c r="M44" s="19" t="inlineStr"/>
      <c r="N44" s="19" t="inlineStr"/>
    </row>
    <row r="45">
      <c r="A45" s="18" t="inlineStr">
        <is>
          <t>M3-01</t>
        </is>
      </c>
      <c r="B45" s="19" t="inlineStr">
        <is>
          <t>M3 Grupos de Conexión</t>
        </is>
      </c>
      <c r="C45" s="19" t="inlineStr">
        <is>
          <t>Estructura del grupo con roles: Supervisor (supervisa uno o varios grupos y reporta al Pastor), Líder, Secretario, Anfitrión y Tesorero.</t>
        </is>
      </c>
      <c r="D45" s="19" t="inlineStr">
        <is>
          <t>v3 + Obs. 4</t>
        </is>
      </c>
      <c r="E45" s="19" t="inlineStr">
        <is>
          <t>MVP</t>
        </is>
      </c>
      <c r="F45" s="19" t="inlineStr">
        <is>
          <t>Fase 1</t>
        </is>
      </c>
      <c r="G45" s="19" t="inlineStr">
        <is>
          <t>Sprint 3</t>
        </is>
      </c>
      <c r="H45" s="19" t="inlineStr">
        <is>
          <t>H3 · MVP (Grupos)</t>
        </is>
      </c>
      <c r="I45" s="19" t="inlineStr">
        <is>
          <t>Como supervisor quiero asignar Líder, Secretario, Anfitrión y Tesorero a cada grupo.</t>
        </is>
      </c>
      <c r="J45" s="19" t="inlineStr">
        <is>
          <t>Un grupo tiene sus roles asignados; un supervisor ve varios grupos.</t>
        </is>
      </c>
      <c r="K45" s="19" t="inlineStr">
        <is>
          <t>VoBo pendiente</t>
        </is>
      </c>
      <c r="L45" s="19" t="inlineStr">
        <is>
          <t>Pendiente</t>
        </is>
      </c>
      <c r="M45" s="19" t="inlineStr"/>
      <c r="N45" s="19" t="inlineStr"/>
    </row>
    <row r="46">
      <c r="A46" s="18" t="inlineStr">
        <is>
          <t>M3-02</t>
        </is>
      </c>
      <c r="B46" s="19" t="inlineStr">
        <is>
          <t>M3 Grupos de Conexión</t>
        </is>
      </c>
      <c r="C46" s="19" t="inlineStr">
        <is>
          <t>Distribución del estudio semanal dentro de la app, sustituyendo el envío por WhatsApp.</t>
        </is>
      </c>
      <c r="D46" s="19" t="inlineStr">
        <is>
          <t>v3</t>
        </is>
      </c>
      <c r="E46" s="19" t="inlineStr">
        <is>
          <t>MVP</t>
        </is>
      </c>
      <c r="F46" s="19" t="inlineStr">
        <is>
          <t>Fase 1</t>
        </is>
      </c>
      <c r="G46" s="19" t="inlineStr">
        <is>
          <t>Sprint 3</t>
        </is>
      </c>
      <c r="H46" s="19" t="inlineStr">
        <is>
          <t>H3 · MVP (Grupos)</t>
        </is>
      </c>
      <c r="I46" s="19" t="inlineStr">
        <is>
          <t>Como líder quiero recibir el estudio semanal en la app en lugar de WhatsApp.</t>
        </is>
      </c>
      <c r="J46" s="19" t="inlineStr">
        <is>
          <t>Publicar el material de la semana; el líder lo abre y queda marca de lectura.</t>
        </is>
      </c>
      <c r="K46" s="19" t="inlineStr">
        <is>
          <t>VoBo pendiente</t>
        </is>
      </c>
      <c r="L46" s="19" t="inlineStr">
        <is>
          <t>Pendiente</t>
        </is>
      </c>
      <c r="M46" s="19" t="inlineStr"/>
      <c r="N46" s="19" t="inlineStr"/>
    </row>
    <row r="47">
      <c r="A47" s="18" t="inlineStr">
        <is>
          <t>M3-03</t>
        </is>
      </c>
      <c r="B47" s="19" t="inlineStr">
        <is>
          <t>M3 Grupos de Conexión</t>
        </is>
      </c>
      <c r="C47" s="19" t="inlineStr">
        <is>
          <t>Pase de lista digital por Secretario o Líder, con captura sin conexión y sincronización posterior.</t>
        </is>
      </c>
      <c r="D47" s="19" t="inlineStr">
        <is>
          <t>v3</t>
        </is>
      </c>
      <c r="E47" s="19" t="inlineStr">
        <is>
          <t>MVP</t>
        </is>
      </c>
      <c r="F47" s="19" t="inlineStr">
        <is>
          <t>Fase 1</t>
        </is>
      </c>
      <c r="G47" s="19" t="inlineStr">
        <is>
          <t>Sprint 3</t>
        </is>
      </c>
      <c r="H47" s="19" t="inlineStr">
        <is>
          <t>H3 · MVP (Grupos)</t>
        </is>
      </c>
      <c r="I47" s="19" t="inlineStr">
        <is>
          <t>Como secretario quiero pasar lista aunque no haya señal.</t>
        </is>
      </c>
      <c r="J47" s="19" t="inlineStr">
        <is>
          <t>Pasar lista en modo avión; al reconectar se sincroniza sin duplicados.</t>
        </is>
      </c>
      <c r="K47" s="19" t="inlineStr">
        <is>
          <t>VoBo pendiente</t>
        </is>
      </c>
      <c r="L47" s="19" t="inlineStr">
        <is>
          <t>Pendiente</t>
        </is>
      </c>
      <c r="M47" s="19" t="inlineStr"/>
      <c r="N47" s="19" t="inlineStr"/>
    </row>
    <row r="48">
      <c r="A48" s="18" t="inlineStr">
        <is>
          <t>M3-04</t>
        </is>
      </c>
      <c r="B48" s="19" t="inlineStr">
        <is>
          <t>M3 Grupos de Conexión</t>
        </is>
      </c>
      <c r="C48" s="19" t="inlineStr">
        <is>
          <t>Ofrendas regulares y especiales. El Tesorero cuenta y avala la cifra con firma electrónica simple (usuario, fecha y hora, monto y código de confirmación). Si su cifra difiere de la capturada, se registra la diferencia.</t>
        </is>
      </c>
      <c r="D48" s="19" t="inlineStr">
        <is>
          <t>v3 + Obs. 4</t>
        </is>
      </c>
      <c r="E48" s="19" t="inlineStr">
        <is>
          <t>MVP</t>
        </is>
      </c>
      <c r="F48" s="19" t="inlineStr">
        <is>
          <t>Fase 1</t>
        </is>
      </c>
      <c r="G48" s="19" t="inlineStr">
        <is>
          <t>Sprint 4</t>
        </is>
      </c>
      <c r="H48" s="19" t="inlineStr">
        <is>
          <t>H3 · MVP (Grupos)</t>
        </is>
      </c>
      <c r="I48" s="19" t="inlineStr">
        <is>
          <t>Como tesorero quiero contar y avalar la ofrenda del grupo.</t>
        </is>
      </c>
      <c r="J48" s="19" t="inlineStr">
        <is>
          <t>Capturar monto; el Tesorero captura su cifra; si difiere se registra la diferencia; con aval no se edita sin motivo.</t>
        </is>
      </c>
      <c r="K48" s="19" t="inlineStr">
        <is>
          <t>VoBo pendiente</t>
        </is>
      </c>
      <c r="L48" s="19" t="inlineStr">
        <is>
          <t>Pendiente</t>
        </is>
      </c>
      <c r="M48" s="19" t="inlineStr"/>
      <c r="N48" s="19" t="inlineStr"/>
    </row>
    <row r="49">
      <c r="A49" s="18" t="inlineStr">
        <is>
          <t>M3-05</t>
        </is>
      </c>
      <c r="B49" s="19" t="inlineStr">
        <is>
          <t>M3 Grupos de Conexión</t>
        </is>
      </c>
      <c r="C49" s="19" t="inlineStr">
        <is>
          <t>Formulario dinámico de peticiones de oración, con seguimiento pastoral.</t>
        </is>
      </c>
      <c r="D49" s="19" t="inlineStr">
        <is>
          <t>v3</t>
        </is>
      </c>
      <c r="E49" s="19" t="inlineStr">
        <is>
          <t>MVP</t>
        </is>
      </c>
      <c r="F49" s="19" t="inlineStr">
        <is>
          <t>Fase 1</t>
        </is>
      </c>
      <c r="G49" s="19" t="inlineStr">
        <is>
          <t>Sprint 4</t>
        </is>
      </c>
      <c r="H49" s="19" t="inlineStr">
        <is>
          <t>H3 · MVP (Grupos)</t>
        </is>
      </c>
      <c r="I49" s="19" t="inlineStr">
        <is>
          <t>Como líder quiero recoger peticiones de oración con un formulario configurable.</t>
        </is>
      </c>
      <c r="J49" s="19" t="inlineStr">
        <is>
          <t>Capturar una petición; el formulario se edita sin código.</t>
        </is>
      </c>
      <c r="K49" s="19" t="inlineStr">
        <is>
          <t>VoBo pendiente</t>
        </is>
      </c>
      <c r="L49" s="19" t="inlineStr">
        <is>
          <t>Pendiente</t>
        </is>
      </c>
      <c r="M49" s="19" t="inlineStr"/>
      <c r="N49" s="19" t="inlineStr"/>
    </row>
    <row r="50">
      <c r="A50" s="18" t="inlineStr">
        <is>
          <t>M3-06</t>
        </is>
      </c>
      <c r="B50" s="19" t="inlineStr">
        <is>
          <t>M3 Grupos de Conexión</t>
        </is>
      </c>
      <c r="C50" s="19" t="inlineStr">
        <is>
          <t>Peticiones de oración visibles solo para Líder y roles superiores. Retención de 1 mes o tiempo configurable, con borrado automático.</t>
        </is>
      </c>
      <c r="D50" s="21" t="inlineStr">
        <is>
          <t>Resp. P8</t>
        </is>
      </c>
      <c r="E50" s="19" t="inlineStr">
        <is>
          <t>MVP</t>
        </is>
      </c>
      <c r="F50" s="19" t="inlineStr">
        <is>
          <t>Fase 1</t>
        </is>
      </c>
      <c r="G50" s="19" t="inlineStr">
        <is>
          <t>Sprint 4</t>
        </is>
      </c>
      <c r="H50" s="19" t="inlineStr">
        <is>
          <t>H3 · MVP (Grupos)</t>
        </is>
      </c>
      <c r="I50" s="19" t="inlineStr">
        <is>
          <t>Como pastor quiero que las peticiones solo las vea el Líder y superiores y se borren al vencer.</t>
        </is>
      </c>
      <c r="J50" s="19" t="inlineStr">
        <is>
          <t>El Secretario no las ve; tras el plazo configurable (por defecto 30 días) se eliminan.</t>
        </is>
      </c>
      <c r="K50" s="19" t="inlineStr">
        <is>
          <t>VoBo pendiente</t>
        </is>
      </c>
      <c r="L50" s="19" t="inlineStr">
        <is>
          <t>Pendiente</t>
        </is>
      </c>
      <c r="M50" s="19" t="inlineStr"/>
      <c r="N50" s="19" t="inlineStr"/>
    </row>
    <row r="51">
      <c r="A51" s="18" t="inlineStr">
        <is>
          <t>M3-07</t>
        </is>
      </c>
      <c r="B51" s="19" t="inlineStr">
        <is>
          <t>M3 Grupos de Conexión</t>
        </is>
      </c>
      <c r="C51" s="19" t="inlineStr">
        <is>
          <t>Reportes de supervisión: dashboards de asistencia, ofrendas y crecimiento por grupo, según permisos.</t>
        </is>
      </c>
      <c r="D51" s="19" t="inlineStr">
        <is>
          <t>v3</t>
        </is>
      </c>
      <c r="E51" s="19" t="inlineStr">
        <is>
          <t>MVP básico</t>
        </is>
      </c>
      <c r="F51" s="19" t="inlineStr">
        <is>
          <t>Fase 1</t>
        </is>
      </c>
      <c r="G51" s="19" t="inlineStr">
        <is>
          <t>Sprint 5</t>
        </is>
      </c>
      <c r="H51" s="19" t="inlineStr">
        <is>
          <t>H3 · MVP (Grupos)</t>
        </is>
      </c>
      <c r="I51" s="19" t="inlineStr">
        <is>
          <t>Como supervisor quiero ver la salud de mis grupos.</t>
        </is>
      </c>
      <c r="J51" s="19" t="inlineStr">
        <is>
          <t>El dashboard muestra asistencia, ofrendas y crecimiento según permisos.</t>
        </is>
      </c>
      <c r="K51" s="19" t="inlineStr">
        <is>
          <t>VoBo pendiente</t>
        </is>
      </c>
      <c r="L51" s="19" t="inlineStr">
        <is>
          <t>Pendiente</t>
        </is>
      </c>
      <c r="M51" s="19" t="inlineStr"/>
      <c r="N51" s="19" t="inlineStr"/>
    </row>
    <row r="52">
      <c r="A52" s="18" t="inlineStr">
        <is>
          <t>M3-08</t>
        </is>
      </c>
      <c r="B52" s="19" t="inlineStr">
        <is>
          <t>M3 Grupos de Conexión</t>
        </is>
      </c>
      <c r="C52" s="19" t="inlineStr">
        <is>
          <t>Ubicación de zona del grupo para que personas cercanas lo encuentren, sin exponer el domicilio exacto. Por definir.</t>
        </is>
      </c>
      <c r="D52" s="19" t="inlineStr">
        <is>
          <t>v3</t>
        </is>
      </c>
      <c r="E52" s="19" t="inlineStr">
        <is>
          <t>Fuera del MVP</t>
        </is>
      </c>
      <c r="F52" s="19" t="inlineStr">
        <is>
          <t>Fase 4</t>
        </is>
      </c>
      <c r="G52" s="19" t="inlineStr">
        <is>
          <t>—</t>
        </is>
      </c>
      <c r="H52" s="19" t="inlineStr">
        <is>
          <t>Posterior</t>
        </is>
      </c>
      <c r="I52" s="20" t="inlineStr">
        <is>
          <t>Se define al iniciar la fase.</t>
        </is>
      </c>
      <c r="J52" s="20" t="inlineStr">
        <is>
          <t>Se define al iniciar la fase.</t>
        </is>
      </c>
      <c r="K52" s="19" t="inlineStr">
        <is>
          <t>Por definir</t>
        </is>
      </c>
      <c r="L52" s="19" t="inlineStr">
        <is>
          <t>Pendiente</t>
        </is>
      </c>
      <c r="M52" s="19" t="inlineStr"/>
      <c r="N52" s="19" t="inlineStr"/>
    </row>
    <row r="53">
      <c r="A53" s="18" t="inlineStr">
        <is>
          <t>M3-09</t>
        </is>
      </c>
      <c r="B53" s="19" t="inlineStr">
        <is>
          <t>M3 Grupos de Conexión</t>
        </is>
      </c>
      <c r="C53" s="19" t="inlineStr">
        <is>
          <t>A un grupo asisten miembros de la iglesia (vecinos o no) e invitados del grupo que no asisten a la iglesia. Los invitados se registran como Contacto con datos mínimos y se les puede invitar a consolidación.</t>
        </is>
      </c>
      <c r="D53" s="21" t="inlineStr">
        <is>
          <t>Corrección v3.2</t>
        </is>
      </c>
      <c r="E53" s="19" t="inlineStr">
        <is>
          <t>MVP</t>
        </is>
      </c>
      <c r="F53" s="19" t="inlineStr">
        <is>
          <t>Fase 1</t>
        </is>
      </c>
      <c r="G53" s="19" t="inlineStr">
        <is>
          <t>Sprint 3</t>
        </is>
      </c>
      <c r="H53" s="19" t="inlineStr">
        <is>
          <t>H3 · MVP (Grupos)</t>
        </is>
      </c>
      <c r="I53" s="19" t="inlineStr">
        <is>
          <t>Como secretario quiero registrar invitados del grupo con datos mínimos.</t>
        </is>
      </c>
      <c r="J53" s="19" t="inlineStr">
        <is>
          <t>Registrar un invitado como Contacto y marcarlo presente.</t>
        </is>
      </c>
      <c r="K53" s="19" t="inlineStr">
        <is>
          <t>VoBo pendiente</t>
        </is>
      </c>
      <c r="L53" s="19" t="inlineStr">
        <is>
          <t>Pendiente</t>
        </is>
      </c>
      <c r="M53" s="19" t="inlineStr"/>
      <c r="N53" s="19" t="inlineStr"/>
    </row>
    <row r="54">
      <c r="A54" s="18" t="inlineStr">
        <is>
          <t>M3-10</t>
        </is>
      </c>
      <c r="B54" s="19" t="inlineStr">
        <is>
          <t>M3 Grupos de Conexión</t>
        </is>
      </c>
      <c r="C54" s="19" t="inlineStr">
        <is>
          <t>Confidencialidad de ofrendas y asistencias: consulta limitada por rol (matriz por definir) y modificación restringida, todo en bitácora.</t>
        </is>
      </c>
      <c r="D54" s="21" t="inlineStr">
        <is>
          <t>Obs. 5</t>
        </is>
      </c>
      <c r="E54" s="19" t="inlineStr">
        <is>
          <t>MVP</t>
        </is>
      </c>
      <c r="F54" s="19" t="inlineStr">
        <is>
          <t>Fase 1</t>
        </is>
      </c>
      <c r="G54" s="19" t="inlineStr">
        <is>
          <t>Sprint 4</t>
        </is>
      </c>
      <c r="H54" s="19" t="inlineStr">
        <is>
          <t>H3 · MVP (Grupos)</t>
        </is>
      </c>
      <c r="I54" s="19" t="inlineStr">
        <is>
          <t>Como pastor quiero que ofrendas y asistencias sean confidenciales.</t>
        </is>
      </c>
      <c r="J54" s="19" t="inlineStr">
        <is>
          <t>La matriz de la sección 3.3 del v3.2 se cumple en pruebas por cada rol.</t>
        </is>
      </c>
      <c r="K54" s="19" t="inlineStr">
        <is>
          <t>Por definir</t>
        </is>
      </c>
      <c r="L54" s="19" t="inlineStr">
        <is>
          <t>Pendiente</t>
        </is>
      </c>
      <c r="M54" s="19" t="inlineStr"/>
      <c r="N54" s="19" t="inlineStr"/>
    </row>
    <row r="55">
      <c r="A55" s="18" t="inlineStr">
        <is>
          <t>M3-11</t>
        </is>
      </c>
      <c r="B55" s="19" t="inlineStr">
        <is>
          <t>M3 Grupos de Conexión</t>
        </is>
      </c>
      <c r="C55" s="19" t="inlineStr">
        <is>
          <t>Dashboard y tablero de mensajes del grupo.</t>
        </is>
      </c>
      <c r="D55" s="21" t="inlineStr">
        <is>
          <t>Obs. 7</t>
        </is>
      </c>
      <c r="E55" s="19" t="inlineStr">
        <is>
          <t>MVP</t>
        </is>
      </c>
      <c r="F55" s="19" t="inlineStr">
        <is>
          <t>Fase 1</t>
        </is>
      </c>
      <c r="G55" s="19" t="inlineStr">
        <is>
          <t>Sprint 5</t>
        </is>
      </c>
      <c r="H55" s="19" t="inlineStr">
        <is>
          <t>H3 · MVP (Grupos)</t>
        </is>
      </c>
      <c r="I55" s="19" t="inlineStr">
        <is>
          <t>Como líder quiero un tablero de mensajes de mi grupo.</t>
        </is>
      </c>
      <c r="J55" s="19" t="inlineStr">
        <is>
          <t>Publicar y leer mensajes del grupo.</t>
        </is>
      </c>
      <c r="K55" s="19" t="inlineStr">
        <is>
          <t>VoBo pendiente</t>
        </is>
      </c>
      <c r="L55" s="19" t="inlineStr">
        <is>
          <t>Pendiente</t>
        </is>
      </c>
      <c r="M55" s="19" t="inlineStr"/>
      <c r="N55" s="19" t="inlineStr"/>
    </row>
    <row r="56">
      <c r="A56" s="18" t="inlineStr">
        <is>
          <t>M4-01</t>
        </is>
      </c>
      <c r="B56" s="19" t="inlineStr">
        <is>
          <t>M4 Kids Check-In/Out</t>
        </is>
      </c>
      <c r="C56" s="19" t="inlineStr">
        <is>
          <t>Sustitución de la ficha física de papel.</t>
        </is>
      </c>
      <c r="D56" s="19" t="inlineStr">
        <is>
          <t>v1 / v2</t>
        </is>
      </c>
      <c r="E56" s="19" t="inlineStr">
        <is>
          <t>Fuera del MVP</t>
        </is>
      </c>
      <c r="F56" s="19" t="inlineStr">
        <is>
          <t>Fase 2</t>
        </is>
      </c>
      <c r="G56" s="19" t="inlineStr">
        <is>
          <t>—</t>
        </is>
      </c>
      <c r="H56" s="19" t="inlineStr">
        <is>
          <t>Posterior</t>
        </is>
      </c>
      <c r="I56" s="20" t="inlineStr">
        <is>
          <t>Se define al iniciar la fase.</t>
        </is>
      </c>
      <c r="J56" s="20" t="inlineStr">
        <is>
          <t>Se define al iniciar la fase.</t>
        </is>
      </c>
      <c r="K56" s="19" t="inlineStr">
        <is>
          <t>VoBo pendiente</t>
        </is>
      </c>
      <c r="L56" s="19" t="inlineStr">
        <is>
          <t>Pendiente</t>
        </is>
      </c>
      <c r="M56" s="19" t="inlineStr"/>
      <c r="N56" s="19" t="inlineStr"/>
    </row>
    <row r="57">
      <c r="A57" s="18" t="inlineStr">
        <is>
          <t>M4-02</t>
        </is>
      </c>
      <c r="B57" s="19" t="inlineStr">
        <is>
          <t>M4 Kids Check-In/Out</t>
        </is>
      </c>
      <c r="C57" s="19" t="inlineStr">
        <is>
          <t>Registro de ingreso del menor con salón o clase asignada y generación de código único.</t>
        </is>
      </c>
      <c r="D57" s="21" t="inlineStr">
        <is>
          <t>v1 + Nuevo v3</t>
        </is>
      </c>
      <c r="E57" s="19" t="inlineStr">
        <is>
          <t>Fuera del MVP</t>
        </is>
      </c>
      <c r="F57" s="19" t="inlineStr">
        <is>
          <t>Fase 2</t>
        </is>
      </c>
      <c r="G57" s="19" t="inlineStr">
        <is>
          <t>—</t>
        </is>
      </c>
      <c r="H57" s="19" t="inlineStr">
        <is>
          <t>Posterior</t>
        </is>
      </c>
      <c r="I57" s="20" t="inlineStr">
        <is>
          <t>Se define al iniciar la fase.</t>
        </is>
      </c>
      <c r="J57" s="20" t="inlineStr">
        <is>
          <t>Se define al iniciar la fase.</t>
        </is>
      </c>
      <c r="K57" s="19" t="inlineStr">
        <is>
          <t>VoBo pendiente</t>
        </is>
      </c>
      <c r="L57" s="19" t="inlineStr">
        <is>
          <t>Pendiente</t>
        </is>
      </c>
      <c r="M57" s="19" t="inlineStr"/>
      <c r="N57" s="19" t="inlineStr"/>
    </row>
    <row r="58">
      <c r="A58" s="18" t="inlineStr">
        <is>
          <t>M4-03</t>
        </is>
      </c>
      <c r="B58" s="19" t="inlineStr">
        <is>
          <t>M4 Kids Check-In/Out</t>
        </is>
      </c>
      <c r="C58" s="19" t="inlineStr">
        <is>
          <t>Código QR dinámico o OTP temporal en la PWA del padre o tutor.</t>
        </is>
      </c>
      <c r="D58" s="19" t="inlineStr">
        <is>
          <t>v2</t>
        </is>
      </c>
      <c r="E58" s="19" t="inlineStr">
        <is>
          <t>Fuera del MVP</t>
        </is>
      </c>
      <c r="F58" s="19" t="inlineStr">
        <is>
          <t>Fase 2</t>
        </is>
      </c>
      <c r="G58" s="19" t="inlineStr">
        <is>
          <t>—</t>
        </is>
      </c>
      <c r="H58" s="19" t="inlineStr">
        <is>
          <t>Posterior</t>
        </is>
      </c>
      <c r="I58" s="20" t="inlineStr">
        <is>
          <t>Se define al iniciar la fase.</t>
        </is>
      </c>
      <c r="J58" s="20" t="inlineStr">
        <is>
          <t>Se define al iniciar la fase.</t>
        </is>
      </c>
      <c r="K58" s="19" t="inlineStr">
        <is>
          <t>VoBo pendiente</t>
        </is>
      </c>
      <c r="L58" s="19" t="inlineStr">
        <is>
          <t>Pendiente</t>
        </is>
      </c>
      <c r="M58" s="19" t="inlineStr"/>
      <c r="N58" s="19" t="inlineStr"/>
    </row>
    <row r="59">
      <c r="A59" s="18" t="inlineStr">
        <is>
          <t>M4-04</t>
        </is>
      </c>
      <c r="B59" s="19" t="inlineStr">
        <is>
          <t>M4 Kids Check-In/Out</t>
        </is>
      </c>
      <c r="C59" s="19" t="inlineStr">
        <is>
          <t>Validación al entregar: el servidor de Kids escanea el código y confirma identidad y fotografía del tutor autorizado en el Expediente Digital.</t>
        </is>
      </c>
      <c r="D59" s="19" t="inlineStr">
        <is>
          <t>v2</t>
        </is>
      </c>
      <c r="E59" s="19" t="inlineStr">
        <is>
          <t>Fuera del MVP</t>
        </is>
      </c>
      <c r="F59" s="19" t="inlineStr">
        <is>
          <t>Fase 2</t>
        </is>
      </c>
      <c r="G59" s="19" t="inlineStr">
        <is>
          <t>—</t>
        </is>
      </c>
      <c r="H59" s="19" t="inlineStr">
        <is>
          <t>Posterior</t>
        </is>
      </c>
      <c r="I59" s="20" t="inlineStr">
        <is>
          <t>Se define al iniciar la fase.</t>
        </is>
      </c>
      <c r="J59" s="20" t="inlineStr">
        <is>
          <t>Se define al iniciar la fase.</t>
        </is>
      </c>
      <c r="K59" s="19" t="inlineStr">
        <is>
          <t>VoBo pendiente</t>
        </is>
      </c>
      <c r="L59" s="19" t="inlineStr">
        <is>
          <t>Pendiente</t>
        </is>
      </c>
      <c r="M59" s="19" t="inlineStr"/>
      <c r="N59" s="19" t="inlineStr"/>
    </row>
    <row r="60">
      <c r="A60" s="18" t="inlineStr">
        <is>
          <t>M4-05</t>
        </is>
      </c>
      <c r="B60" s="19" t="inlineStr">
        <is>
          <t>M4 Kids Check-In/Out</t>
        </is>
      </c>
      <c r="C60" s="19" t="inlineStr">
        <is>
          <t>Alternativa para tutores sin smartphone, sin batería o sin conexión (p. ej. código por SMS o comprobante imprimible con identificación). Por definir.</t>
        </is>
      </c>
      <c r="D60" s="21" t="inlineStr">
        <is>
          <t>Nuevo v3</t>
        </is>
      </c>
      <c r="E60" s="19" t="inlineStr">
        <is>
          <t>Fuera del MVP</t>
        </is>
      </c>
      <c r="F60" s="19" t="inlineStr">
        <is>
          <t>Fase 2</t>
        </is>
      </c>
      <c r="G60" s="19" t="inlineStr">
        <is>
          <t>—</t>
        </is>
      </c>
      <c r="H60" s="19" t="inlineStr">
        <is>
          <t>Posterior</t>
        </is>
      </c>
      <c r="I60" s="20" t="inlineStr">
        <is>
          <t>Se define al iniciar la fase.</t>
        </is>
      </c>
      <c r="J60" s="20" t="inlineStr">
        <is>
          <t>Se define al iniciar la fase.</t>
        </is>
      </c>
      <c r="K60" s="19" t="inlineStr">
        <is>
          <t>Por definir</t>
        </is>
      </c>
      <c r="L60" s="19" t="inlineStr">
        <is>
          <t>Pendiente</t>
        </is>
      </c>
      <c r="M60" s="19" t="inlineStr"/>
      <c r="N60" s="19" t="inlineStr"/>
    </row>
    <row r="61">
      <c r="A61" s="18" t="inlineStr">
        <is>
          <t>M4-06</t>
        </is>
      </c>
      <c r="B61" s="19" t="inlineStr">
        <is>
          <t>M4 Kids Check-In/Out</t>
        </is>
      </c>
      <c r="C61" s="19" t="inlineStr">
        <is>
          <t>Autorización temporal de un tercero para recoger al menor, con aprobación del tutor registrado.</t>
        </is>
      </c>
      <c r="D61" s="21" t="inlineStr">
        <is>
          <t>Nuevo v3</t>
        </is>
      </c>
      <c r="E61" s="19" t="inlineStr">
        <is>
          <t>Fuera del MVP</t>
        </is>
      </c>
      <c r="F61" s="19" t="inlineStr">
        <is>
          <t>Fase 2</t>
        </is>
      </c>
      <c r="G61" s="19" t="inlineStr">
        <is>
          <t>—</t>
        </is>
      </c>
      <c r="H61" s="19" t="inlineStr">
        <is>
          <t>Posterior</t>
        </is>
      </c>
      <c r="I61" s="20" t="inlineStr">
        <is>
          <t>Se define al iniciar la fase.</t>
        </is>
      </c>
      <c r="J61" s="20" t="inlineStr">
        <is>
          <t>Se define al iniciar la fase.</t>
        </is>
      </c>
      <c r="K61" s="19" t="inlineStr">
        <is>
          <t>VoBo pendiente</t>
        </is>
      </c>
      <c r="L61" s="19" t="inlineStr">
        <is>
          <t>Pendiente</t>
        </is>
      </c>
      <c r="M61" s="19" t="inlineStr"/>
      <c r="N61" s="19" t="inlineStr"/>
    </row>
    <row r="62">
      <c r="A62" s="18" t="inlineStr">
        <is>
          <t>M4-07</t>
        </is>
      </c>
      <c r="B62" s="19" t="inlineStr">
        <is>
          <t>M4 Kids Check-In/Out</t>
        </is>
      </c>
      <c r="C62" s="19" t="inlineStr">
        <is>
          <t>Caducidad del código y bitácora de cada entrega (quién recogió, quién entregó, hora).</t>
        </is>
      </c>
      <c r="D62" s="21" t="inlineStr">
        <is>
          <t>Nuevo v3</t>
        </is>
      </c>
      <c r="E62" s="19" t="inlineStr">
        <is>
          <t>Fuera del MVP</t>
        </is>
      </c>
      <c r="F62" s="19" t="inlineStr">
        <is>
          <t>Fase 2</t>
        </is>
      </c>
      <c r="G62" s="19" t="inlineStr">
        <is>
          <t>—</t>
        </is>
      </c>
      <c r="H62" s="19" t="inlineStr">
        <is>
          <t>Posterior</t>
        </is>
      </c>
      <c r="I62" s="20" t="inlineStr">
        <is>
          <t>Se define al iniciar la fase.</t>
        </is>
      </c>
      <c r="J62" s="20" t="inlineStr">
        <is>
          <t>Se define al iniciar la fase.</t>
        </is>
      </c>
      <c r="K62" s="19" t="inlineStr">
        <is>
          <t>VoBo pendiente</t>
        </is>
      </c>
      <c r="L62" s="19" t="inlineStr">
        <is>
          <t>Pendiente</t>
        </is>
      </c>
      <c r="M62" s="19" t="inlineStr"/>
      <c r="N62" s="19" t="inlineStr"/>
    </row>
    <row r="63">
      <c r="A63" s="18" t="inlineStr">
        <is>
          <t>M4-08</t>
        </is>
      </c>
      <c r="B63" s="19" t="inlineStr">
        <is>
          <t>M4 Kids Check-In/Out</t>
        </is>
      </c>
      <c r="C63" s="19" t="inlineStr">
        <is>
          <t>Funcionamiento sin conexión o con conexión degradada para el check-out.</t>
        </is>
      </c>
      <c r="D63" s="21" t="inlineStr">
        <is>
          <t>Nuevo v3</t>
        </is>
      </c>
      <c r="E63" s="19" t="inlineStr">
        <is>
          <t>Fuera del MVP</t>
        </is>
      </c>
      <c r="F63" s="19" t="inlineStr">
        <is>
          <t>Fase 2</t>
        </is>
      </c>
      <c r="G63" s="19" t="inlineStr">
        <is>
          <t>—</t>
        </is>
      </c>
      <c r="H63" s="19" t="inlineStr">
        <is>
          <t>Posterior</t>
        </is>
      </c>
      <c r="I63" s="20" t="inlineStr">
        <is>
          <t>Se define al iniciar la fase.</t>
        </is>
      </c>
      <c r="J63" s="20" t="inlineStr">
        <is>
          <t>Se define al iniciar la fase.</t>
        </is>
      </c>
      <c r="K63" s="19" t="inlineStr">
        <is>
          <t>VoBo pendiente</t>
        </is>
      </c>
      <c r="L63" s="19" t="inlineStr">
        <is>
          <t>Pendiente</t>
        </is>
      </c>
      <c r="M63" s="19" t="inlineStr"/>
      <c r="N63" s="19" t="inlineStr"/>
    </row>
    <row r="64">
      <c r="A64" s="18" t="inlineStr">
        <is>
          <t>M5-01</t>
        </is>
      </c>
      <c r="B64" s="19" t="inlineStr">
        <is>
          <t>M5 Áreas y servidores</t>
        </is>
      </c>
      <c r="C64" s="19" t="inlineStr">
        <is>
          <t>Catálogo mínimo de áreas y asignación de servidores. Versión reducida del módulo 5, necesaria para permisos por área. Sirve como primer censo.</t>
        </is>
      </c>
      <c r="D64" s="19" t="inlineStr">
        <is>
          <t>v3</t>
        </is>
      </c>
      <c r="E64" s="19" t="inlineStr">
        <is>
          <t>MVP mínimo</t>
        </is>
      </c>
      <c r="F64" s="19" t="inlineStr">
        <is>
          <t>Fase 0</t>
        </is>
      </c>
      <c r="G64" s="19" t="inlineStr">
        <is>
          <t>Sprint 1</t>
        </is>
      </c>
      <c r="H64" s="19" t="inlineStr">
        <is>
          <t>H2 · Fase 0 completa</t>
        </is>
      </c>
      <c r="I64" s="19" t="inlineStr">
        <is>
          <t>Como pastor quiero un catálogo de áreas con su personal para conocer la estructura.</t>
        </is>
      </c>
      <c r="J64" s="19" t="inlineStr">
        <is>
          <t>Crear un área, asignar servidores y ver el conteo real.</t>
        </is>
      </c>
      <c r="K64" s="19" t="inlineStr">
        <is>
          <t>VoBo pendiente</t>
        </is>
      </c>
      <c r="L64" s="19" t="inlineStr">
        <is>
          <t>Pendiente</t>
        </is>
      </c>
      <c r="M64" s="19" t="inlineStr"/>
      <c r="N64" s="19" t="inlineStr"/>
    </row>
    <row r="65">
      <c r="A65" s="18" t="inlineStr">
        <is>
          <t>M5-02</t>
        </is>
      </c>
      <c r="B65" s="19" t="inlineStr">
        <is>
          <t>M5 Áreas y servidores</t>
        </is>
      </c>
      <c r="C65" s="19" t="inlineStr">
        <is>
          <t>Roles jerárquicos dentro de cada área (directores, líderes, maestros, servidores).</t>
        </is>
      </c>
      <c r="D65" s="19" t="inlineStr">
        <is>
          <t>v1</t>
        </is>
      </c>
      <c r="E65" s="19" t="inlineStr">
        <is>
          <t>Fuera del MVP</t>
        </is>
      </c>
      <c r="F65" s="19" t="inlineStr">
        <is>
          <t>Fase 4</t>
        </is>
      </c>
      <c r="G65" s="19" t="inlineStr">
        <is>
          <t>—</t>
        </is>
      </c>
      <c r="H65" s="19" t="inlineStr">
        <is>
          <t>Posterior</t>
        </is>
      </c>
      <c r="I65" s="20" t="inlineStr">
        <is>
          <t>Se define al iniciar la fase.</t>
        </is>
      </c>
      <c r="J65" s="20" t="inlineStr">
        <is>
          <t>Se define al iniciar la fase.</t>
        </is>
      </c>
      <c r="K65" s="19" t="inlineStr">
        <is>
          <t>VoBo pendiente</t>
        </is>
      </c>
      <c r="L65" s="19" t="inlineStr">
        <is>
          <t>Pendiente</t>
        </is>
      </c>
      <c r="M65" s="19" t="inlineStr"/>
      <c r="N65" s="19" t="inlineStr"/>
    </row>
    <row r="66">
      <c r="A66" s="18" t="inlineStr">
        <is>
          <t>M5-03</t>
        </is>
      </c>
      <c r="B66" s="19" t="inlineStr">
        <is>
          <t>M5 Áreas y servidores</t>
        </is>
      </c>
      <c r="C66" s="19" t="inlineStr">
        <is>
          <t>Organigrama y número real de servidores activos, directores y líderes por área.</t>
        </is>
      </c>
      <c r="D66" s="19" t="inlineStr">
        <is>
          <t>v2</t>
        </is>
      </c>
      <c r="E66" s="19" t="inlineStr">
        <is>
          <t>Fuera del MVP</t>
        </is>
      </c>
      <c r="F66" s="19" t="inlineStr">
        <is>
          <t>Fase 4</t>
        </is>
      </c>
      <c r="G66" s="19" t="inlineStr">
        <is>
          <t>—</t>
        </is>
      </c>
      <c r="H66" s="19" t="inlineStr">
        <is>
          <t>Posterior</t>
        </is>
      </c>
      <c r="I66" s="20" t="inlineStr">
        <is>
          <t>Se define al iniciar la fase.</t>
        </is>
      </c>
      <c r="J66" s="20" t="inlineStr">
        <is>
          <t>Se define al iniciar la fase.</t>
        </is>
      </c>
      <c r="K66" s="19" t="inlineStr">
        <is>
          <t>VoBo pendiente</t>
        </is>
      </c>
      <c r="L66" s="19" t="inlineStr">
        <is>
          <t>Pendiente</t>
        </is>
      </c>
      <c r="M66" s="19" t="inlineStr"/>
      <c r="N66" s="19" t="inlineStr"/>
    </row>
    <row r="67">
      <c r="A67" s="18" t="inlineStr">
        <is>
          <t>M5-04</t>
        </is>
      </c>
      <c r="B67" s="19" t="inlineStr">
        <is>
          <t>M5 Áreas y servidores</t>
        </is>
      </c>
      <c r="C67" s="19" t="inlineStr">
        <is>
          <t>Control de asistencia a turnos o servicios.</t>
        </is>
      </c>
      <c r="D67" s="19" t="inlineStr">
        <is>
          <t>v1 / v2</t>
        </is>
      </c>
      <c r="E67" s="19" t="inlineStr">
        <is>
          <t>Fuera del MVP</t>
        </is>
      </c>
      <c r="F67" s="19" t="inlineStr">
        <is>
          <t>Fase 4</t>
        </is>
      </c>
      <c r="G67" s="19" t="inlineStr">
        <is>
          <t>—</t>
        </is>
      </c>
      <c r="H67" s="19" t="inlineStr">
        <is>
          <t>Posterior</t>
        </is>
      </c>
      <c r="I67" s="20" t="inlineStr">
        <is>
          <t>Se define al iniciar la fase.</t>
        </is>
      </c>
      <c r="J67" s="20" t="inlineStr">
        <is>
          <t>Se define al iniciar la fase.</t>
        </is>
      </c>
      <c r="K67" s="19" t="inlineStr">
        <is>
          <t>VoBo pendiente</t>
        </is>
      </c>
      <c r="L67" s="19" t="inlineStr">
        <is>
          <t>Pendiente</t>
        </is>
      </c>
      <c r="M67" s="19" t="inlineStr"/>
      <c r="N67" s="19" t="inlineStr"/>
    </row>
    <row r="68">
      <c r="A68" s="18" t="inlineStr">
        <is>
          <t>M5-05</t>
        </is>
      </c>
      <c r="B68" s="19" t="inlineStr">
        <is>
          <t>M5 Áreas y servidores</t>
        </is>
      </c>
      <c r="C68" s="19" t="inlineStr">
        <is>
          <t>Tablero de avisos y notificaciones interno por área.</t>
        </is>
      </c>
      <c r="D68" s="19" t="inlineStr">
        <is>
          <t>v1 / v2</t>
        </is>
      </c>
      <c r="E68" s="19" t="inlineStr">
        <is>
          <t>Fuera del MVP</t>
        </is>
      </c>
      <c r="F68" s="19" t="inlineStr">
        <is>
          <t>Fase 4</t>
        </is>
      </c>
      <c r="G68" s="19" t="inlineStr">
        <is>
          <t>—</t>
        </is>
      </c>
      <c r="H68" s="19" t="inlineStr">
        <is>
          <t>Posterior</t>
        </is>
      </c>
      <c r="I68" s="20" t="inlineStr">
        <is>
          <t>Se define al iniciar la fase.</t>
        </is>
      </c>
      <c r="J68" s="20" t="inlineStr">
        <is>
          <t>Se define al iniciar la fase.</t>
        </is>
      </c>
      <c r="K68" s="19" t="inlineStr">
        <is>
          <t>VoBo pendiente</t>
        </is>
      </c>
      <c r="L68" s="19" t="inlineStr">
        <is>
          <t>Pendiente</t>
        </is>
      </c>
      <c r="M68" s="19" t="inlineStr"/>
      <c r="N68" s="19" t="inlineStr"/>
    </row>
    <row r="69">
      <c r="A69" s="18" t="inlineStr">
        <is>
          <t>M5-06</t>
        </is>
      </c>
      <c r="B69" s="19" t="inlineStr">
        <is>
          <t>M5 Áreas y servidores</t>
        </is>
      </c>
      <c r="C69" s="19" t="inlineStr">
        <is>
          <t>Gestión financiera por área: caja chica y gastos operativos.</t>
        </is>
      </c>
      <c r="D69" s="19" t="inlineStr">
        <is>
          <t>v1 / v2</t>
        </is>
      </c>
      <c r="E69" s="19" t="inlineStr">
        <is>
          <t>Fuera del MVP</t>
        </is>
      </c>
      <c r="F69" s="19" t="inlineStr">
        <is>
          <t>Fase 4</t>
        </is>
      </c>
      <c r="G69" s="19" t="inlineStr">
        <is>
          <t>—</t>
        </is>
      </c>
      <c r="H69" s="19" t="inlineStr">
        <is>
          <t>Posterior</t>
        </is>
      </c>
      <c r="I69" s="20" t="inlineStr">
        <is>
          <t>Se define al iniciar la fase.</t>
        </is>
      </c>
      <c r="J69" s="20" t="inlineStr">
        <is>
          <t>Se define al iniciar la fase.</t>
        </is>
      </c>
      <c r="K69" s="19" t="inlineStr">
        <is>
          <t>VoBo pendiente</t>
        </is>
      </c>
      <c r="L69" s="19" t="inlineStr">
        <is>
          <t>Pendiente</t>
        </is>
      </c>
      <c r="M69" s="19" t="inlineStr"/>
      <c r="N69" s="19" t="inlineStr"/>
    </row>
    <row r="70">
      <c r="A70" s="18" t="inlineStr">
        <is>
          <t>M6-01</t>
        </is>
      </c>
      <c r="B70" s="19" t="inlineStr">
        <is>
          <t>M6 Ministerios de servicio</t>
        </is>
      </c>
      <c r="C70" s="19" t="inlineStr">
        <is>
          <t>Control de personal propio de cada ministerio.</t>
        </is>
      </c>
      <c r="D70" s="22" t="inlineStr">
        <is>
          <t>Recuperado v1</t>
        </is>
      </c>
      <c r="E70" s="19" t="inlineStr">
        <is>
          <t>Fuera del MVP</t>
        </is>
      </c>
      <c r="F70" s="19" t="inlineStr">
        <is>
          <t>Fase 4</t>
        </is>
      </c>
      <c r="G70" s="19" t="inlineStr">
        <is>
          <t>—</t>
        </is>
      </c>
      <c r="H70" s="19" t="inlineStr">
        <is>
          <t>Posterior</t>
        </is>
      </c>
      <c r="I70" s="20" t="inlineStr">
        <is>
          <t>Se define al iniciar la fase.</t>
        </is>
      </c>
      <c r="J70" s="20" t="inlineStr">
        <is>
          <t>Se define al iniciar la fase.</t>
        </is>
      </c>
      <c r="K70" s="19" t="inlineStr">
        <is>
          <t>VoBo pendiente</t>
        </is>
      </c>
      <c r="L70" s="19" t="inlineStr">
        <is>
          <t>Pendiente</t>
        </is>
      </c>
      <c r="M70" s="19" t="inlineStr"/>
      <c r="N70" s="19" t="inlineStr"/>
    </row>
    <row r="71">
      <c r="A71" s="18" t="inlineStr">
        <is>
          <t>M6-02</t>
        </is>
      </c>
      <c r="B71" s="19" t="inlineStr">
        <is>
          <t>M6 Ministerios de servicio</t>
        </is>
      </c>
      <c r="C71" s="19" t="inlineStr">
        <is>
          <t>Menú o catálogo digital interactivo (público o interno), autogestionado.</t>
        </is>
      </c>
      <c r="D71" s="19" t="inlineStr">
        <is>
          <t>v1 / v2</t>
        </is>
      </c>
      <c r="E71" s="19" t="inlineStr">
        <is>
          <t>Fuera del MVP</t>
        </is>
      </c>
      <c r="F71" s="19" t="inlineStr">
        <is>
          <t>Fase 4</t>
        </is>
      </c>
      <c r="G71" s="19" t="inlineStr">
        <is>
          <t>—</t>
        </is>
      </c>
      <c r="H71" s="19" t="inlineStr">
        <is>
          <t>Posterior</t>
        </is>
      </c>
      <c r="I71" s="20" t="inlineStr">
        <is>
          <t>Se define al iniciar la fase.</t>
        </is>
      </c>
      <c r="J71" s="20" t="inlineStr">
        <is>
          <t>Se define al iniciar la fase.</t>
        </is>
      </c>
      <c r="K71" s="19" t="inlineStr">
        <is>
          <t>VoBo pendiente</t>
        </is>
      </c>
      <c r="L71" s="19" t="inlineStr">
        <is>
          <t>Pendiente</t>
        </is>
      </c>
      <c r="M71" s="19" t="inlineStr"/>
      <c r="N71" s="19" t="inlineStr"/>
    </row>
    <row r="72">
      <c r="A72" s="18" t="inlineStr">
        <is>
          <t>M6-03</t>
        </is>
      </c>
      <c r="B72" s="19" t="inlineStr">
        <is>
          <t>M6 Ministerios de servicio</t>
        </is>
      </c>
      <c r="C72" s="19" t="inlineStr">
        <is>
          <t>Calendario de turnos: días regulares de servicio y eventos especiales.</t>
        </is>
      </c>
      <c r="D72" s="19" t="inlineStr">
        <is>
          <t>v1 / v2</t>
        </is>
      </c>
      <c r="E72" s="19" t="inlineStr">
        <is>
          <t>Fuera del MVP</t>
        </is>
      </c>
      <c r="F72" s="19" t="inlineStr">
        <is>
          <t>Fase 4</t>
        </is>
      </c>
      <c r="G72" s="19" t="inlineStr">
        <is>
          <t>—</t>
        </is>
      </c>
      <c r="H72" s="19" t="inlineStr">
        <is>
          <t>Posterior</t>
        </is>
      </c>
      <c r="I72" s="20" t="inlineStr">
        <is>
          <t>Se define al iniciar la fase.</t>
        </is>
      </c>
      <c r="J72" s="20" t="inlineStr">
        <is>
          <t>Se define al iniciar la fase.</t>
        </is>
      </c>
      <c r="K72" s="19" t="inlineStr">
        <is>
          <t>VoBo pendiente</t>
        </is>
      </c>
      <c r="L72" s="19" t="inlineStr">
        <is>
          <t>Pendiente</t>
        </is>
      </c>
      <c r="M72" s="19" t="inlineStr"/>
      <c r="N72" s="19" t="inlineStr"/>
    </row>
    <row r="73">
      <c r="A73" s="18" t="inlineStr">
        <is>
          <t>M6-04</t>
        </is>
      </c>
      <c r="B73" s="19" t="inlineStr">
        <is>
          <t>M6 Ministerios de servicio</t>
        </is>
      </c>
      <c r="C73" s="19" t="inlineStr">
        <is>
          <t>Registro de asistentes o personas atendidas.</t>
        </is>
      </c>
      <c r="D73" s="19" t="inlineStr">
        <is>
          <t>v1 / v2</t>
        </is>
      </c>
      <c r="E73" s="19" t="inlineStr">
        <is>
          <t>Fuera del MVP</t>
        </is>
      </c>
      <c r="F73" s="19" t="inlineStr">
        <is>
          <t>Fase 4</t>
        </is>
      </c>
      <c r="G73" s="19" t="inlineStr">
        <is>
          <t>—</t>
        </is>
      </c>
      <c r="H73" s="19" t="inlineStr">
        <is>
          <t>Posterior</t>
        </is>
      </c>
      <c r="I73" s="20" t="inlineStr">
        <is>
          <t>Se define al iniciar la fase.</t>
        </is>
      </c>
      <c r="J73" s="20" t="inlineStr">
        <is>
          <t>Se define al iniciar la fase.</t>
        </is>
      </c>
      <c r="K73" s="19" t="inlineStr">
        <is>
          <t>VoBo pendiente</t>
        </is>
      </c>
      <c r="L73" s="19" t="inlineStr">
        <is>
          <t>Pendiente</t>
        </is>
      </c>
      <c r="M73" s="19" t="inlineStr"/>
      <c r="N73" s="19" t="inlineStr"/>
    </row>
    <row r="74">
      <c r="A74" s="18" t="inlineStr">
        <is>
          <t>M6-05</t>
        </is>
      </c>
      <c r="B74" s="19" t="inlineStr">
        <is>
          <t>M6 Ministerios de servicio</t>
        </is>
      </c>
      <c r="C74" s="19" t="inlineStr">
        <is>
          <t>Control de gastos y de inventario básico.</t>
        </is>
      </c>
      <c r="D74" s="19" t="inlineStr">
        <is>
          <t>v1 / v2</t>
        </is>
      </c>
      <c r="E74" s="19" t="inlineStr">
        <is>
          <t>Fuera del MVP</t>
        </is>
      </c>
      <c r="F74" s="19" t="inlineStr">
        <is>
          <t>Fase 4</t>
        </is>
      </c>
      <c r="G74" s="19" t="inlineStr">
        <is>
          <t>—</t>
        </is>
      </c>
      <c r="H74" s="19" t="inlineStr">
        <is>
          <t>Posterior</t>
        </is>
      </c>
      <c r="I74" s="20" t="inlineStr">
        <is>
          <t>Se define al iniciar la fase.</t>
        </is>
      </c>
      <c r="J74" s="20" t="inlineStr">
        <is>
          <t>Se define al iniciar la fase.</t>
        </is>
      </c>
      <c r="K74" s="19" t="inlineStr">
        <is>
          <t>VoBo pendiente</t>
        </is>
      </c>
      <c r="L74" s="19" t="inlineStr">
        <is>
          <t>Pendiente</t>
        </is>
      </c>
      <c r="M74" s="19" t="inlineStr"/>
      <c r="N74" s="19" t="inlineStr"/>
    </row>
    <row r="75">
      <c r="A75" s="18" t="inlineStr">
        <is>
          <t>M6-06</t>
        </is>
      </c>
      <c r="B75" s="19" t="inlineStr">
        <is>
          <t>M6 Ministerios de servicio</t>
        </is>
      </c>
      <c r="C75" s="19" t="inlineStr">
        <is>
          <t>Canal de comunicación directo con el área de Administración General.</t>
        </is>
      </c>
      <c r="D75" s="19" t="inlineStr">
        <is>
          <t>v1 / v2</t>
        </is>
      </c>
      <c r="E75" s="19" t="inlineStr">
        <is>
          <t>Fuera del MVP</t>
        </is>
      </c>
      <c r="F75" s="19" t="inlineStr">
        <is>
          <t>Fase 4</t>
        </is>
      </c>
      <c r="G75" s="19" t="inlineStr">
        <is>
          <t>—</t>
        </is>
      </c>
      <c r="H75" s="19" t="inlineStr">
        <is>
          <t>Posterior</t>
        </is>
      </c>
      <c r="I75" s="20" t="inlineStr">
        <is>
          <t>Se define al iniciar la fase.</t>
        </is>
      </c>
      <c r="J75" s="20" t="inlineStr">
        <is>
          <t>Se define al iniciar la fase.</t>
        </is>
      </c>
      <c r="K75" s="19" t="inlineStr">
        <is>
          <t>VoBo pendiente</t>
        </is>
      </c>
      <c r="L75" s="19" t="inlineStr">
        <is>
          <t>Pendiente</t>
        </is>
      </c>
      <c r="M75" s="19" t="inlineStr"/>
      <c r="N75" s="19" t="inlineStr"/>
    </row>
    <row r="76">
      <c r="A76" s="18" t="inlineStr">
        <is>
          <t>M6-07</t>
        </is>
      </c>
      <c r="B76" s="19" t="inlineStr">
        <is>
          <t>M6 Ministerios de servicio</t>
        </is>
      </c>
      <c r="C76" s="19" t="inlineStr">
        <is>
          <t>Servicio Médico: los datos de salud de las personas atendidas requieren tratamiento de datos sensibles. Por definir alcance.</t>
        </is>
      </c>
      <c r="D76" s="21" t="inlineStr">
        <is>
          <t>Nuevo v3</t>
        </is>
      </c>
      <c r="E76" s="19" t="inlineStr">
        <is>
          <t>Fuera del MVP</t>
        </is>
      </c>
      <c r="F76" s="19" t="inlineStr">
        <is>
          <t>Fase 4</t>
        </is>
      </c>
      <c r="G76" s="19" t="inlineStr">
        <is>
          <t>—</t>
        </is>
      </c>
      <c r="H76" s="19" t="inlineStr">
        <is>
          <t>Posterior</t>
        </is>
      </c>
      <c r="I76" s="20" t="inlineStr">
        <is>
          <t>Se define al iniciar la fase.</t>
        </is>
      </c>
      <c r="J76" s="20" t="inlineStr">
        <is>
          <t>Se define al iniciar la fase.</t>
        </is>
      </c>
      <c r="K76" s="19" t="inlineStr">
        <is>
          <t>Por definir</t>
        </is>
      </c>
      <c r="L76" s="19" t="inlineStr">
        <is>
          <t>Pendiente</t>
        </is>
      </c>
      <c r="M76" s="19" t="inlineStr"/>
      <c r="N76" s="19" t="inlineStr"/>
    </row>
    <row r="77">
      <c r="A77" s="18" t="inlineStr">
        <is>
          <t>M7-01</t>
        </is>
      </c>
      <c r="B77" s="19" t="inlineStr">
        <is>
          <t>M7 Eventos y aforo</t>
        </is>
      </c>
      <c r="C77" s="19" t="inlineStr">
        <is>
          <t>Eventos abiertos o evangelísticos con formulario de inscripción rápida, sin requerir historial previo.</t>
        </is>
      </c>
      <c r="D77" s="19" t="inlineStr">
        <is>
          <t>v1 / v2</t>
        </is>
      </c>
      <c r="E77" s="19" t="inlineStr">
        <is>
          <t>Fuera del MVP</t>
        </is>
      </c>
      <c r="F77" s="19" t="inlineStr">
        <is>
          <t>Fase 4</t>
        </is>
      </c>
      <c r="G77" s="19" t="inlineStr">
        <is>
          <t>—</t>
        </is>
      </c>
      <c r="H77" s="19" t="inlineStr">
        <is>
          <t>Posterior</t>
        </is>
      </c>
      <c r="I77" s="20" t="inlineStr">
        <is>
          <t>Se define al iniciar la fase.</t>
        </is>
      </c>
      <c r="J77" s="20" t="inlineStr">
        <is>
          <t>Se define al iniciar la fase.</t>
        </is>
      </c>
      <c r="K77" s="19" t="inlineStr">
        <is>
          <t>VoBo pendiente</t>
        </is>
      </c>
      <c r="L77" s="19" t="inlineStr">
        <is>
          <t>Pendiente</t>
        </is>
      </c>
      <c r="M77" s="19" t="inlineStr"/>
      <c r="N77" s="19" t="inlineStr"/>
    </row>
    <row r="78">
      <c r="A78" s="18" t="inlineStr">
        <is>
          <t>M7-02</t>
        </is>
      </c>
      <c r="B78" s="19" t="inlineStr">
        <is>
          <t>M7 Eventos y aforo</t>
        </is>
      </c>
      <c r="C78" s="19" t="inlineStr">
        <is>
          <t>Consolidación (inducción de personas que asisten por primera vez) como tipo de evento.</t>
        </is>
      </c>
      <c r="D78" s="22" t="inlineStr">
        <is>
          <t>Recuperado v1</t>
        </is>
      </c>
      <c r="E78" s="19" t="inlineStr">
        <is>
          <t>Fuera del MVP</t>
        </is>
      </c>
      <c r="F78" s="19" t="inlineStr">
        <is>
          <t>Fase 4</t>
        </is>
      </c>
      <c r="G78" s="19" t="inlineStr">
        <is>
          <t>—</t>
        </is>
      </c>
      <c r="H78" s="19" t="inlineStr">
        <is>
          <t>Posterior</t>
        </is>
      </c>
      <c r="I78" s="20" t="inlineStr">
        <is>
          <t>Se define al iniciar la fase.</t>
        </is>
      </c>
      <c r="J78" s="20" t="inlineStr">
        <is>
          <t>Se define al iniciar la fase.</t>
        </is>
      </c>
      <c r="K78" s="19" t="inlineStr">
        <is>
          <t>VoBo pendiente</t>
        </is>
      </c>
      <c r="L78" s="19" t="inlineStr">
        <is>
          <t>Pendiente</t>
        </is>
      </c>
      <c r="M78" s="19" t="inlineStr"/>
      <c r="N78" s="19" t="inlineStr"/>
    </row>
    <row r="79">
      <c r="A79" s="18" t="inlineStr">
        <is>
          <t>M7-03</t>
        </is>
      </c>
      <c r="B79" s="19" t="inlineStr">
        <is>
          <t>M7 Eventos y aforo</t>
        </is>
      </c>
      <c r="C79" s="19" t="inlineStr">
        <is>
          <t>Encargados de evento (personal de la iglesia únicamente; no se controla personal externo).</t>
        </is>
      </c>
      <c r="D79" s="22" t="inlineStr">
        <is>
          <t>Recuperado v1</t>
        </is>
      </c>
      <c r="E79" s="19" t="inlineStr">
        <is>
          <t>Fuera del MVP</t>
        </is>
      </c>
      <c r="F79" s="19" t="inlineStr">
        <is>
          <t>Fase 4</t>
        </is>
      </c>
      <c r="G79" s="19" t="inlineStr">
        <is>
          <t>—</t>
        </is>
      </c>
      <c r="H79" s="19" t="inlineStr">
        <is>
          <t>Posterior</t>
        </is>
      </c>
      <c r="I79" s="20" t="inlineStr">
        <is>
          <t>Se define al iniciar la fase.</t>
        </is>
      </c>
      <c r="J79" s="20" t="inlineStr">
        <is>
          <t>Se define al iniciar la fase.</t>
        </is>
      </c>
      <c r="K79" s="19" t="inlineStr">
        <is>
          <t>VoBo pendiente</t>
        </is>
      </c>
      <c r="L79" s="19" t="inlineStr">
        <is>
          <t>Pendiente</t>
        </is>
      </c>
      <c r="M79" s="19" t="inlineStr"/>
      <c r="N79" s="19" t="inlineStr"/>
    </row>
    <row r="80">
      <c r="A80" s="18" t="inlineStr">
        <is>
          <t>M7-04</t>
        </is>
      </c>
      <c r="B80" s="19" t="inlineStr">
        <is>
          <t>M7 Eventos y aforo</t>
        </is>
      </c>
      <c r="C80" s="19" t="inlineStr">
        <is>
          <t>Control de cupo en tiempo real que bloquea el sobrecupo en eventos con aforo limitado (ej. 30 o 50 lugares).</t>
        </is>
      </c>
      <c r="D80" s="19" t="inlineStr">
        <is>
          <t>v1 / v2</t>
        </is>
      </c>
      <c r="E80" s="19" t="inlineStr">
        <is>
          <t>Fuera del MVP</t>
        </is>
      </c>
      <c r="F80" s="19" t="inlineStr">
        <is>
          <t>Fase 4</t>
        </is>
      </c>
      <c r="G80" s="19" t="inlineStr">
        <is>
          <t>—</t>
        </is>
      </c>
      <c r="H80" s="19" t="inlineStr">
        <is>
          <t>Posterior</t>
        </is>
      </c>
      <c r="I80" s="20" t="inlineStr">
        <is>
          <t>Se define al iniciar la fase.</t>
        </is>
      </c>
      <c r="J80" s="20" t="inlineStr">
        <is>
          <t>Se define al iniciar la fase.</t>
        </is>
      </c>
      <c r="K80" s="19" t="inlineStr">
        <is>
          <t>VoBo pendiente</t>
        </is>
      </c>
      <c r="L80" s="19" t="inlineStr">
        <is>
          <t>Pendiente</t>
        </is>
      </c>
      <c r="M80" s="19" t="inlineStr"/>
      <c r="N80" s="19" t="inlineStr"/>
    </row>
    <row r="81">
      <c r="A81" s="18" t="inlineStr">
        <is>
          <t>M7-05</t>
        </is>
      </c>
      <c r="B81" s="19" t="inlineStr">
        <is>
          <t>M7 Eventos y aforo</t>
        </is>
      </c>
      <c r="C81" s="19" t="inlineStr">
        <is>
          <t>Control de asistentes sin lista previa, para aforo y para dar a conocer la iglesia.</t>
        </is>
      </c>
      <c r="D81" s="19" t="inlineStr">
        <is>
          <t>v1</t>
        </is>
      </c>
      <c r="E81" s="19" t="inlineStr">
        <is>
          <t>Fuera del MVP</t>
        </is>
      </c>
      <c r="F81" s="19" t="inlineStr">
        <is>
          <t>Fase 4</t>
        </is>
      </c>
      <c r="G81" s="19" t="inlineStr">
        <is>
          <t>—</t>
        </is>
      </c>
      <c r="H81" s="19" t="inlineStr">
        <is>
          <t>Posterior</t>
        </is>
      </c>
      <c r="I81" s="20" t="inlineStr">
        <is>
          <t>Se define al iniciar la fase.</t>
        </is>
      </c>
      <c r="J81" s="20" t="inlineStr">
        <is>
          <t>Se define al iniciar la fase.</t>
        </is>
      </c>
      <c r="K81" s="19" t="inlineStr">
        <is>
          <t>VoBo pendiente</t>
        </is>
      </c>
      <c r="L81" s="19" t="inlineStr">
        <is>
          <t>Pendiente</t>
        </is>
      </c>
      <c r="M81" s="19" t="inlineStr"/>
      <c r="N81" s="19" t="inlineStr"/>
    </row>
    <row r="82">
      <c r="A82" s="18" t="inlineStr">
        <is>
          <t>M7-06</t>
        </is>
      </c>
      <c r="B82" s="19" t="inlineStr">
        <is>
          <t>M7 Eventos y aforo</t>
        </is>
      </c>
      <c r="C82" s="19" t="inlineStr">
        <is>
          <t>Seguimiento de personas nuevas: conversión de un invitado a Expediente Digital y canalización a un curso o Grupo de Conexión.</t>
        </is>
      </c>
      <c r="D82" s="21" t="inlineStr">
        <is>
          <t>Nuevo v3</t>
        </is>
      </c>
      <c r="E82" s="19" t="inlineStr">
        <is>
          <t>Fuera del MVP</t>
        </is>
      </c>
      <c r="F82" s="19" t="inlineStr">
        <is>
          <t>Fase 4</t>
        </is>
      </c>
      <c r="G82" s="19" t="inlineStr">
        <is>
          <t>—</t>
        </is>
      </c>
      <c r="H82" s="19" t="inlineStr">
        <is>
          <t>Posterior</t>
        </is>
      </c>
      <c r="I82" s="20" t="inlineStr">
        <is>
          <t>Se define al iniciar la fase.</t>
        </is>
      </c>
      <c r="J82" s="20" t="inlineStr">
        <is>
          <t>Se define al iniciar la fase.</t>
        </is>
      </c>
      <c r="K82" s="19" t="inlineStr">
        <is>
          <t>VoBo pendiente</t>
        </is>
      </c>
      <c r="L82" s="19" t="inlineStr">
        <is>
          <t>Pendiente</t>
        </is>
      </c>
      <c r="M82" s="19" t="inlineStr"/>
      <c r="N82" s="19" t="inlineStr"/>
    </row>
    <row r="83">
      <c r="A83" s="18" t="inlineStr">
        <is>
          <t>NF-01</t>
        </is>
      </c>
      <c r="B83" s="19" t="inlineStr">
        <is>
          <t>No funcionales</t>
        </is>
      </c>
      <c r="C83" s="19" t="inlineStr">
        <is>
          <t>Cumplimiento de la LFPDPPP: aviso de privacidad, consentimiento y derechos ARCO.</t>
        </is>
      </c>
      <c r="D83" s="19" t="inlineStr">
        <is>
          <t>v3</t>
        </is>
      </c>
      <c r="E83" s="19" t="inlineStr">
        <is>
          <t>MVP</t>
        </is>
      </c>
      <c r="F83" s="19" t="inlineStr">
        <is>
          <t>Fase 0</t>
        </is>
      </c>
      <c r="G83" s="19" t="inlineStr">
        <is>
          <t>Sprint 1</t>
        </is>
      </c>
      <c r="H83" s="19" t="inlineStr">
        <is>
          <t>H1 · 18-oct (núcleo Fase 0)</t>
        </is>
      </c>
      <c r="I83" s="19" t="inlineStr">
        <is>
          <t>Como iglesia queremos cumplir con la LFPDPPP.</t>
        </is>
      </c>
      <c r="J83" s="19" t="inlineStr">
        <is>
          <t>Aviso de privacidad, consentimiento y atención de derechos ARCO disponibles.</t>
        </is>
      </c>
      <c r="K83" s="19" t="inlineStr">
        <is>
          <t>VoBo pendiente</t>
        </is>
      </c>
      <c r="L83" s="19" t="inlineStr">
        <is>
          <t>Pendiente</t>
        </is>
      </c>
      <c r="M83" s="19" t="inlineStr"/>
      <c r="N83" s="19" t="inlineStr"/>
    </row>
    <row r="84">
      <c r="A84" s="18" t="inlineStr">
        <is>
          <t>NF-02</t>
        </is>
      </c>
      <c r="B84" s="19" t="inlineStr">
        <is>
          <t>No funcionales</t>
        </is>
      </c>
      <c r="C84" s="19" t="inlineStr">
        <is>
          <t>Cifrado en tránsito y en reposo. Cifrado adicional a nivel de campo para peticiones de oración.</t>
        </is>
      </c>
      <c r="D84" s="19" t="inlineStr">
        <is>
          <t>v3</t>
        </is>
      </c>
      <c r="E84" s="19" t="inlineStr">
        <is>
          <t>MVP</t>
        </is>
      </c>
      <c r="F84" s="19" t="inlineStr">
        <is>
          <t>Fase 0</t>
        </is>
      </c>
      <c r="G84" s="19" t="inlineStr">
        <is>
          <t>Sprint 0</t>
        </is>
      </c>
      <c r="H84" s="19" t="inlineStr">
        <is>
          <t>H1 · 18-oct (núcleo Fase 0)</t>
        </is>
      </c>
      <c r="I84" s="19" t="inlineStr">
        <is>
          <t>Como iglesia queremos proteger los datos sensibles.</t>
        </is>
      </c>
      <c r="J84" s="19" t="inlineStr">
        <is>
          <t>HTTPS obligatorio y peticiones de oración ilegibles directamente en la base.</t>
        </is>
      </c>
      <c r="K84" s="19" t="inlineStr">
        <is>
          <t>VoBo pendiente</t>
        </is>
      </c>
      <c r="L84" s="19" t="inlineStr">
        <is>
          <t>Pendiente</t>
        </is>
      </c>
      <c r="M84" s="19" t="inlineStr"/>
      <c r="N84" s="19" t="inlineStr"/>
    </row>
    <row r="85">
      <c r="A85" s="18" t="inlineStr">
        <is>
          <t>NF-03</t>
        </is>
      </c>
      <c r="B85" s="19" t="inlineStr">
        <is>
          <t>No funcionales</t>
        </is>
      </c>
      <c r="C85" s="19" t="inlineStr">
        <is>
          <t>Bitácora de auditoría de solo-añadir: quién consultó o modificó expedientes, ofrendas y asistencias.</t>
        </is>
      </c>
      <c r="D85" s="19" t="inlineStr">
        <is>
          <t>v3</t>
        </is>
      </c>
      <c r="E85" s="19" t="inlineStr">
        <is>
          <t>MVP</t>
        </is>
      </c>
      <c r="F85" s="19" t="inlineStr">
        <is>
          <t>Fase 0</t>
        </is>
      </c>
      <c r="G85" s="19" t="inlineStr">
        <is>
          <t>Sprint 1</t>
        </is>
      </c>
      <c r="H85" s="19" t="inlineStr">
        <is>
          <t>H1 · 18-oct (núcleo Fase 0)</t>
        </is>
      </c>
      <c r="I85" s="19" t="inlineStr">
        <is>
          <t>Como pastor quiero una bitácora que nadie pueda alterar.</t>
        </is>
      </c>
      <c r="J85" s="19" t="inlineStr">
        <is>
          <t>El usuario de la aplicación no puede actualizar ni borrar registros de bitácora.</t>
        </is>
      </c>
      <c r="K85" s="19" t="inlineStr">
        <is>
          <t>VoBo pendiente</t>
        </is>
      </c>
      <c r="L85" s="19" t="inlineStr">
        <is>
          <t>Pendiente</t>
        </is>
      </c>
      <c r="M85" s="19" t="inlineStr"/>
      <c r="N85" s="19" t="inlineStr"/>
    </row>
    <row r="86">
      <c r="A86" s="18" t="inlineStr">
        <is>
          <t>NF-04</t>
        </is>
      </c>
      <c r="B86" s="19" t="inlineStr">
        <is>
          <t>No funcionales</t>
        </is>
      </c>
      <c r="C86" s="19" t="inlineStr">
        <is>
          <t>Respaldos automáticos diarios cifrados y prueba periódica de restauración.</t>
        </is>
      </c>
      <c r="D86" s="19" t="inlineStr">
        <is>
          <t>v3</t>
        </is>
      </c>
      <c r="E86" s="19" t="inlineStr">
        <is>
          <t>MVP</t>
        </is>
      </c>
      <c r="F86" s="19" t="inlineStr">
        <is>
          <t>Fase 0</t>
        </is>
      </c>
      <c r="G86" s="19" t="inlineStr">
        <is>
          <t>Sprint 0</t>
        </is>
      </c>
      <c r="H86" s="19" t="inlineStr">
        <is>
          <t>H1 · 18-oct (núcleo Fase 0)</t>
        </is>
      </c>
      <c r="I86" s="19" t="inlineStr">
        <is>
          <t>Como iglesia queremos no perder información.</t>
        </is>
      </c>
      <c r="J86" s="19" t="inlineStr">
        <is>
          <t>Respaldo diario cifrado y restauración probada en un ambiente de pruebas.</t>
        </is>
      </c>
      <c r="K86" s="19" t="inlineStr">
        <is>
          <t>VoBo pendiente</t>
        </is>
      </c>
      <c r="L86" s="19" t="inlineStr">
        <is>
          <t>Pendiente</t>
        </is>
      </c>
      <c r="M86" s="19" t="inlineStr"/>
      <c r="N86" s="19" t="inlineStr"/>
    </row>
    <row r="87">
      <c r="A87" s="18" t="inlineStr">
        <is>
          <t>NF-05</t>
        </is>
      </c>
      <c r="B87" s="19" t="inlineStr">
        <is>
          <t>No funcionales</t>
        </is>
      </c>
      <c r="C87" s="19" t="inlineStr">
        <is>
          <t>Disponibilidad esperada en horarios de servicio (fines de semana y reuniones de grupo). Por definir meta.</t>
        </is>
      </c>
      <c r="D87" s="21" t="inlineStr">
        <is>
          <t>Nuevo v3</t>
        </is>
      </c>
      <c r="E87" s="19" t="inlineStr">
        <is>
          <t>Fuera del MVP</t>
        </is>
      </c>
      <c r="F87" s="19" t="inlineStr">
        <is>
          <t>Transversal</t>
        </is>
      </c>
      <c r="G87" s="19" t="inlineStr">
        <is>
          <t>—</t>
        </is>
      </c>
      <c r="H87" s="19" t="inlineStr">
        <is>
          <t>Posterior</t>
        </is>
      </c>
      <c r="I87" s="20" t="inlineStr">
        <is>
          <t>Se define al iniciar la fase.</t>
        </is>
      </c>
      <c r="J87" s="20" t="inlineStr">
        <is>
          <t>Se define al iniciar la fase.</t>
        </is>
      </c>
      <c r="K87" s="19" t="inlineStr">
        <is>
          <t>Por definir</t>
        </is>
      </c>
      <c r="L87" s="19" t="inlineStr">
        <is>
          <t>Pendiente</t>
        </is>
      </c>
      <c r="M87" s="19" t="inlineStr"/>
      <c r="N87" s="19" t="inlineStr"/>
    </row>
    <row r="88">
      <c r="A88" s="18" t="inlineStr">
        <is>
          <t>NF-06</t>
        </is>
      </c>
      <c r="B88" s="19" t="inlineStr">
        <is>
          <t>No funcionales</t>
        </is>
      </c>
      <c r="C88" s="19" t="inlineStr">
        <is>
          <t>Pase de lista sin conexión con sincronización posterior (reuniones en domicilios con mala señal).</t>
        </is>
      </c>
      <c r="D88" s="19" t="inlineStr">
        <is>
          <t>v3</t>
        </is>
      </c>
      <c r="E88" s="19" t="inlineStr">
        <is>
          <t>MVP</t>
        </is>
      </c>
      <c r="F88" s="19" t="inlineStr">
        <is>
          <t>Fase 0</t>
        </is>
      </c>
      <c r="G88" s="19" t="inlineStr">
        <is>
          <t>Sprint 3</t>
        </is>
      </c>
      <c r="H88" s="19" t="inlineStr">
        <is>
          <t>H3 · MVP (Grupos)</t>
        </is>
      </c>
      <c r="I88" s="19" t="inlineStr">
        <is>
          <t>Como secretario quiero que el pase de lista funcione sin señal.</t>
        </is>
      </c>
      <c r="J88" s="19" t="inlineStr">
        <is>
          <t>Prueba en modo avión y sincronización al reconectar.</t>
        </is>
      </c>
      <c r="K88" s="19" t="inlineStr">
        <is>
          <t>VoBo pendiente</t>
        </is>
      </c>
      <c r="L88" s="19" t="inlineStr">
        <is>
          <t>Pendiente</t>
        </is>
      </c>
      <c r="M88" s="19" t="inlineStr"/>
      <c r="N88" s="19" t="inlineStr"/>
    </row>
    <row r="89">
      <c r="A89" s="18" t="inlineStr">
        <is>
          <t>NF-07</t>
        </is>
      </c>
      <c r="B89" s="19" t="inlineStr">
        <is>
          <t>No funcionales</t>
        </is>
      </c>
      <c r="C89" s="19" t="inlineStr">
        <is>
          <t>Funciona en Android, iOS y escritorio. En iOS, las notificaciones push requieren instalar la PWA; el respaldo por WhatsApp cubre el resto.</t>
        </is>
      </c>
      <c r="D89" s="19" t="inlineStr">
        <is>
          <t>v3</t>
        </is>
      </c>
      <c r="E89" s="19" t="inlineStr">
        <is>
          <t>MVP</t>
        </is>
      </c>
      <c r="F89" s="19" t="inlineStr">
        <is>
          <t>Fase 0</t>
        </is>
      </c>
      <c r="G89" s="19" t="inlineStr">
        <is>
          <t>Sprint 0</t>
        </is>
      </c>
      <c r="H89" s="19" t="inlineStr">
        <is>
          <t>H1 · 18-oct (núcleo Fase 0)</t>
        </is>
      </c>
      <c r="I89" s="19" t="inlineStr">
        <is>
          <t>Como usuario quiero usar el sistema en mi dispositivo.</t>
        </is>
      </c>
      <c r="J89" s="19" t="inlineStr">
        <is>
          <t>Pruebas en Android, iOS y escritorio; push en iOS con la PWA instalada y respaldo por WhatsApp.</t>
        </is>
      </c>
      <c r="K89" s="19" t="inlineStr">
        <is>
          <t>VoBo pendiente</t>
        </is>
      </c>
      <c r="L89" s="19" t="inlineStr">
        <is>
          <t>Pendiente</t>
        </is>
      </c>
      <c r="M89" s="19" t="inlineStr"/>
      <c r="N89" s="19" t="inlineStr"/>
    </row>
    <row r="90">
      <c r="A90" s="18" t="inlineStr">
        <is>
          <t>NF-08</t>
        </is>
      </c>
      <c r="B90" s="19" t="inlineStr">
        <is>
          <t>No funcionales</t>
        </is>
      </c>
      <c r="C90" s="19" t="inlineStr">
        <is>
          <t>Dimensionamiento para ~1,000 personas, con picos los fines de semana, y margen de crecimiento.</t>
        </is>
      </c>
      <c r="D90" s="21" t="inlineStr">
        <is>
          <t>Resp. P8</t>
        </is>
      </c>
      <c r="E90" s="19" t="inlineStr">
        <is>
          <t>MVP</t>
        </is>
      </c>
      <c r="F90" s="19" t="inlineStr">
        <is>
          <t>Fase 0</t>
        </is>
      </c>
      <c r="G90" s="19" t="inlineStr">
        <is>
          <t>Sprint 0</t>
        </is>
      </c>
      <c r="H90" s="19" t="inlineStr">
        <is>
          <t>H1 · 18-oct (núcleo Fase 0)</t>
        </is>
      </c>
      <c r="I90" s="19" t="inlineStr">
        <is>
          <t>Como iglesia queremos que el sistema soporte a ~1,000 personas.</t>
        </is>
      </c>
      <c r="J90" s="19" t="inlineStr">
        <is>
          <t>Prueba de carga con volumen representativo (por definir) sin degradación.</t>
        </is>
      </c>
      <c r="K90" s="19" t="inlineStr">
        <is>
          <t>VoBo pendiente</t>
        </is>
      </c>
      <c r="L90" s="19" t="inlineStr">
        <is>
          <t>Pendiente</t>
        </is>
      </c>
      <c r="M90" s="19" t="inlineStr"/>
      <c r="N90" s="19" t="inlineStr"/>
    </row>
    <row r="91">
      <c r="A91" s="18" t="inlineStr">
        <is>
          <t>NF-09</t>
        </is>
      </c>
      <c r="B91" s="19" t="inlineStr">
        <is>
          <t>No funcionales</t>
        </is>
      </c>
      <c r="C91" s="19" t="inlineStr">
        <is>
          <t>Reportes transversales: asistencia, finanzas, crecimiento de la iglesia, exportables a Excel y PDF.</t>
        </is>
      </c>
      <c r="D91" s="21" t="inlineStr">
        <is>
          <t>Nuevo v3</t>
        </is>
      </c>
      <c r="E91" s="19" t="inlineStr">
        <is>
          <t>Fuera del MVP</t>
        </is>
      </c>
      <c r="F91" s="19" t="inlineStr">
        <is>
          <t>Transversal</t>
        </is>
      </c>
      <c r="G91" s="19" t="inlineStr">
        <is>
          <t>—</t>
        </is>
      </c>
      <c r="H91" s="19" t="inlineStr">
        <is>
          <t>Posterior</t>
        </is>
      </c>
      <c r="I91" s="20" t="inlineStr">
        <is>
          <t>Se define al iniciar la fase.</t>
        </is>
      </c>
      <c r="J91" s="20" t="inlineStr">
        <is>
          <t>Se define al iniciar la fase.</t>
        </is>
      </c>
      <c r="K91" s="19" t="inlineStr">
        <is>
          <t>VoBo pendiente</t>
        </is>
      </c>
      <c r="L91" s="19" t="inlineStr">
        <is>
          <t>Pendiente</t>
        </is>
      </c>
      <c r="M91" s="19" t="inlineStr"/>
      <c r="N91" s="19" t="inlineStr"/>
    </row>
    <row r="92">
      <c r="A92" s="18" t="inlineStr">
        <is>
          <t>NF-10</t>
        </is>
      </c>
      <c r="B92" s="19" t="inlineStr">
        <is>
          <t>No funcionales</t>
        </is>
      </c>
      <c r="C92" s="19" t="inlineStr">
        <is>
          <t>Usabilidad para personas mayores: tipografía grande, alto contraste, flujos cortos (ver sección 5).</t>
        </is>
      </c>
      <c r="D92" s="19" t="inlineStr">
        <is>
          <t>v3 + Obs. 1</t>
        </is>
      </c>
      <c r="E92" s="19" t="inlineStr">
        <is>
          <t>MVP</t>
        </is>
      </c>
      <c r="F92" s="19" t="inlineStr">
        <is>
          <t>Fase 0</t>
        </is>
      </c>
      <c r="G92" s="19" t="inlineStr">
        <is>
          <t>Sprint 0</t>
        </is>
      </c>
      <c r="H92" s="19" t="inlineStr">
        <is>
          <t>H1 · 18-oct (núcleo Fase 0)</t>
        </is>
      </c>
      <c r="I92" s="19" t="inlineStr">
        <is>
          <t>Como persona mayor quiero una interfaz fácil de leer y usar.</t>
        </is>
      </c>
      <c r="J92" s="19" t="inlineStr">
        <is>
          <t>Texto base 18 px, botones de al menos 48 px, contraste AA; prueba con usuarios mayores.</t>
        </is>
      </c>
      <c r="K92" s="19" t="inlineStr">
        <is>
          <t>VoBo pendiente</t>
        </is>
      </c>
      <c r="L92" s="19" t="inlineStr">
        <is>
          <t>Pendiente</t>
        </is>
      </c>
      <c r="M92" s="19" t="inlineStr"/>
      <c r="N92" s="19" t="inlineStr"/>
    </row>
  </sheetData>
  <autoFilter ref="A1:N92"/>
  <conditionalFormatting sqref="L2:L92">
    <cfRule type="expression" priority="1" dxfId="0">
      <formula>$L2="Hecho"</formula>
    </cfRule>
    <cfRule type="expression" priority="2" dxfId="1">
      <formula>$L2="En pruebas"</formula>
    </cfRule>
    <cfRule type="expression" priority="3" dxfId="2">
      <formula>$L2="En desarrollo"</formula>
    </cfRule>
    <cfRule type="expression" priority="4" dxfId="3">
      <formula>$L2="En diseño"</formula>
    </cfRule>
    <cfRule type="expression" priority="5" dxfId="4">
      <formula>$L2="Bloqueado"</formula>
    </cfRule>
  </conditionalFormatting>
  <conditionalFormatting sqref="K2:K92">
    <cfRule type="expression" priority="6" dxfId="0">
      <formula>$K2="Aprobado"</formula>
    </cfRule>
    <cfRule type="expression" priority="7" dxfId="4">
      <formula>$K2="Por definir"</formula>
    </cfRule>
  </conditionalFormatting>
  <conditionalFormatting sqref="H2:H92">
    <cfRule type="expression" priority="8" dxfId="5">
      <formula>LEFT($H2,2)="H1"</formula>
    </cfRule>
  </conditionalFormatting>
  <dataValidations count="2">
    <dataValidation sqref="L2:L92" showDropDown="0" showInputMessage="0" showErrorMessage="0" allowBlank="0" type="list">
      <formula1>"Pendiente,En diseño,En desarrollo,En pruebas,Hecho,Bloqueado"</formula1>
    </dataValidation>
    <dataValidation sqref="K2:K92" showDropDown="0" showInputMessage="0" showErrorMessage="0" allowBlank="0" type="list">
      <formula1>"VoBo pendiente,Aprobado,Por definir,Rechazado"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70" customWidth="1" min="2" max="2"/>
    <col width="30" customWidth="1" min="3" max="3"/>
    <col width="52" customWidth="1" min="4" max="4"/>
    <col width="30" customWidth="1" min="5" max="5"/>
  </cols>
  <sheetData>
    <row r="1">
      <c r="A1" s="23" t="inlineStr">
        <is>
          <t>Obs.</t>
        </is>
      </c>
      <c r="B1" s="23" t="inlineStr">
        <is>
          <t>Resumen de la observación</t>
        </is>
      </c>
      <c r="C1" s="23" t="inlineStr">
        <is>
          <t>Requerimientos</t>
        </is>
      </c>
      <c r="D1" s="23" t="inlineStr">
        <is>
          <t>Resolución</t>
        </is>
      </c>
      <c r="E1" s="23" t="inlineStr">
        <is>
          <t>Estado</t>
        </is>
      </c>
    </row>
    <row r="2">
      <c r="A2" s="18" t="inlineStr">
        <is>
          <t>1</t>
        </is>
      </c>
      <c r="B2" s="24" t="inlineStr">
        <is>
          <t>¿PWA o nativa? Considerar permisos, costos y usuarios mayores.</t>
        </is>
      </c>
      <c r="C2" s="24" t="inlineStr">
        <is>
          <t>NF-07, NF-10</t>
        </is>
      </c>
      <c r="D2" s="24" t="inlineStr">
        <is>
          <t>PWA primero; lógica separada para envolver como app nativa si se justifica.</t>
        </is>
      </c>
      <c r="E2" s="24" t="inlineStr">
        <is>
          <t>Decidido</t>
        </is>
      </c>
    </row>
    <row r="3">
      <c r="A3" s="18" t="inlineStr">
        <is>
          <t>2</t>
        </is>
      </c>
      <c r="B3" s="24" t="inlineStr">
        <is>
          <t>Diseñador dinámico con relaciones para reportes y estadísticas.</t>
        </is>
      </c>
      <c r="C3" s="24" t="inlineStr">
        <is>
          <t>CFG-06, CFG-07, CFG-08</t>
        </is>
      </c>
      <c r="D3" s="24" t="inlineStr">
        <is>
          <t>Modelo híbrido: tablas fijas + campos personalizados + campos de relación.</t>
        </is>
      </c>
      <c r="E3" s="24" t="inlineStr">
        <is>
          <t>En MVP (Sprint 2)</t>
        </is>
      </c>
    </row>
    <row r="4">
      <c r="A4" s="18" t="inlineStr">
        <is>
          <t>3</t>
        </is>
      </c>
      <c r="B4" s="24" t="inlineStr">
        <is>
          <t>Distinguir si el inscrito es de la iglesia local; pedir WhatsApp.</t>
        </is>
      </c>
      <c r="C4" s="24" t="inlineStr">
        <is>
          <t>M1-12, M1-13</t>
        </is>
      </c>
      <c r="D4" s="24" t="inlineStr">
        <is>
          <t>Tres niveles de registro y atributo de procedencia. Su uso en cursos llega en Fase 3.</t>
        </is>
      </c>
      <c r="E4" s="24" t="inlineStr">
        <is>
          <t>En MVP (Sprint 1)</t>
        </is>
      </c>
    </row>
    <row r="5">
      <c r="A5" s="18" t="inlineStr">
        <is>
          <t>4</t>
        </is>
      </c>
      <c r="B5" s="24" t="inlineStr">
        <is>
          <t>Tesorero con firma que avala la cifra.</t>
        </is>
      </c>
      <c r="C5" s="24" t="inlineStr">
        <is>
          <t>M3-01, M3-04</t>
        </is>
      </c>
      <c r="D5" s="24" t="inlineStr">
        <is>
          <t>Rol Tesorero y aval electrónico simple con diferencia registrada.</t>
        </is>
      </c>
      <c r="E5" s="24" t="inlineStr">
        <is>
          <t>En MVP (Sprint 4)</t>
        </is>
      </c>
    </row>
    <row r="6">
      <c r="A6" s="18" t="inlineStr">
        <is>
          <t>5</t>
        </is>
      </c>
      <c r="B6" s="24" t="inlineStr">
        <is>
          <t>Confidencialidad de ofrendas y asistencias, con bitácora.</t>
        </is>
      </c>
      <c r="C6" s="24" t="inlineStr">
        <is>
          <t>M1-16, M3-10</t>
        </is>
      </c>
      <c r="D6" s="24" t="inlineStr">
        <is>
          <t>Matriz de confidencialidad aprobada (v3.2, sección 3.3).</t>
        </is>
      </c>
      <c r="E6" s="24" t="inlineStr">
        <is>
          <t>En MVP (Sprint 1 y 4)</t>
        </is>
      </c>
    </row>
    <row r="7">
      <c r="A7" s="18" t="inlineStr">
        <is>
          <t>6</t>
        </is>
      </c>
      <c r="B7" s="24" t="inlineStr">
        <is>
          <t>Alternativa a M4-05: check-out sin teléfono.</t>
        </is>
      </c>
      <c r="C7" s="24" t="inlineStr">
        <is>
          <t>M4-05</t>
        </is>
      </c>
      <c r="D7" s="24" t="inlineStr">
        <is>
          <t>Validación por el servidor del salón con fotos y bitácora.</t>
        </is>
      </c>
      <c r="E7" s="24" t="inlineStr">
        <is>
          <t>Fase 2</t>
        </is>
      </c>
    </row>
    <row r="8">
      <c r="A8" s="18" t="inlineStr">
        <is>
          <t>7</t>
        </is>
      </c>
      <c r="B8" s="24" t="inlineStr">
        <is>
          <t>Dashboard y tablero de mensajes por módulo (se omiten los «roles de servir»).</t>
        </is>
      </c>
      <c r="C8" s="24" t="inlineStr">
        <is>
          <t>M1-19, M3-11</t>
        </is>
      </c>
      <c r="D8" s="24" t="inlineStr">
        <is>
          <t>Componente genérico reutilizable.</t>
        </is>
      </c>
      <c r="E8" s="24" t="inlineStr">
        <is>
          <t>En MVP (Sprint 5)</t>
        </is>
      </c>
    </row>
    <row r="9">
      <c r="A9" s="18" t="inlineStr">
        <is>
          <t>8</t>
        </is>
      </c>
      <c r="B9" s="24" t="inlineStr">
        <is>
          <t>Datos de salud en el EDU y medicamentos con caducidad.</t>
        </is>
      </c>
      <c r="C9" s="24" t="inlineStr">
        <is>
          <t>M6-07 y ficha de salud</t>
        </is>
      </c>
      <c r="D9" s="24" t="inlineStr">
        <is>
          <t>Fuera del MVP; el modelo del EDU se prepara para admitirlos.</t>
        </is>
      </c>
      <c r="E9" s="24" t="inlineStr">
        <is>
          <t>Posterior</t>
        </is>
      </c>
    </row>
    <row r="10">
      <c r="A10" s="18" t="inlineStr">
        <is>
          <t>9</t>
        </is>
      </c>
      <c r="B10" s="24" t="inlineStr">
        <is>
          <t>Registro breve y seguimiento de personas nuevas.</t>
        </is>
      </c>
      <c r="C10" s="24" t="inlineStr">
        <is>
          <t>M1-12, M1-18, M3-09</t>
        </is>
      </c>
      <c r="D10" s="24" t="inlineStr">
        <is>
          <t>Contacto con WhatsApp, responsable y estados.</t>
        </is>
      </c>
      <c r="E10" s="24" t="inlineStr">
        <is>
          <t>En MVP (Sprint 1 y 2)</t>
        </is>
      </c>
    </row>
    <row r="11">
      <c r="A11" s="18" t="inlineStr">
        <is>
          <t>10</t>
        </is>
      </c>
      <c r="B11" s="24" t="inlineStr">
        <is>
          <t>Reserva de lugares y sobrecupo autorizado en eventos.</t>
        </is>
      </c>
      <c r="C11" s="24" t="inlineStr">
        <is>
          <t>M7-04</t>
        </is>
      </c>
      <c r="D11" s="24" t="inlineStr">
        <is>
          <t>Reserva por cantidad y sobrecupo con autorización y bitácora.</t>
        </is>
      </c>
      <c r="E11" s="24" t="inlineStr">
        <is>
          <t>Fase 4</t>
        </is>
      </c>
    </row>
    <row r="12">
      <c r="A12" s="18" t="inlineStr">
        <is>
          <t>P8-1</t>
        </is>
      </c>
      <c r="B12" s="24" t="inlineStr">
        <is>
          <t>Respuestas: Ancianos como Pastor, con limitantes en finanzas.</t>
        </is>
      </c>
      <c r="C12" s="24" t="inlineStr">
        <is>
          <t>M1-07</t>
        </is>
      </c>
      <c r="D12" s="24" t="inlineStr">
        <is>
          <t>Incorporado en RBAC y en la matriz de confidencialidad.</t>
        </is>
      </c>
      <c r="E12" s="24" t="inlineStr">
        <is>
          <t>En MVP (Sprint 1)</t>
        </is>
      </c>
    </row>
    <row r="13">
      <c r="A13" s="18" t="inlineStr">
        <is>
          <t>P8-2</t>
        </is>
      </c>
      <c r="B13" s="24" t="inlineStr">
        <is>
          <t>Respuestas: avisos no públicos; el visitante entra por enlace de WhatsApp.</t>
        </is>
      </c>
      <c r="C13" s="24" t="inlineStr">
        <is>
          <t>M1-10</t>
        </is>
      </c>
      <c r="D13" s="24" t="inlineStr">
        <is>
          <t>Rol Visitante con acceso reducido.</t>
        </is>
      </c>
      <c r="E13" s="24" t="inlineStr">
        <is>
          <t>En MVP (Sprint 2)</t>
        </is>
      </c>
    </row>
    <row r="14">
      <c r="A14" s="18" t="inlineStr">
        <is>
          <t>P8-3</t>
        </is>
      </c>
      <c r="B14" s="24" t="inlineStr">
        <is>
          <t>Respuestas: de quien deja la iglesia solo se conserva fecha y motivo.</t>
        </is>
      </c>
      <c r="C14" s="24" t="inlineStr">
        <is>
          <t>M1-14</t>
        </is>
      </c>
      <c r="D14" s="24" t="inlineStr">
        <is>
          <t>Historial de movimientos del EDU.</t>
        </is>
      </c>
      <c r="E14" s="24" t="inlineStr">
        <is>
          <t>En MVP (Sprint 1)</t>
        </is>
      </c>
    </row>
    <row r="15">
      <c r="A15" s="18" t="inlineStr">
        <is>
          <t>P8-4</t>
        </is>
      </c>
      <c r="B15" s="24" t="inlineStr">
        <is>
          <t>Respuestas: peticiones de oración, retención de 1 mes o configurable.</t>
        </is>
      </c>
      <c r="C15" s="24" t="inlineStr">
        <is>
          <t>M3-06</t>
        </is>
      </c>
      <c r="D15" s="24" t="inlineStr">
        <is>
          <t>Borrado automático configurable (30 días por defecto).</t>
        </is>
      </c>
      <c r="E15" s="24" t="inlineStr">
        <is>
          <t>En MVP (Sprint 4)</t>
        </is>
      </c>
    </row>
    <row r="16">
      <c r="A16" s="18" t="inlineStr">
        <is>
          <t>P8-5</t>
        </is>
      </c>
      <c r="B16" s="24" t="inlineStr">
        <is>
          <t>Respuestas: pagos de cursos en efectivo o transferencia, sin comprobante.</t>
        </is>
      </c>
      <c r="C16" s="24" t="inlineStr">
        <is>
          <t>M2A-07</t>
        </is>
      </c>
      <c r="D16" s="24" t="inlineStr">
        <is>
          <t>Registro manual, sin pasarela ni facturación.</t>
        </is>
      </c>
      <c r="E16" s="24" t="inlineStr">
        <is>
          <t>Fase 3</t>
        </is>
      </c>
    </row>
    <row r="17">
      <c r="A17" s="18" t="inlineStr">
        <is>
          <t>P8-6</t>
        </is>
      </c>
      <c r="B17" s="24" t="inlineStr">
        <is>
          <t>Respuestas: canal de respaldo WhatsApp y SMS, lo más barato.</t>
        </is>
      </c>
      <c r="C17" s="24" t="inlineStr">
        <is>
          <t>M1-06, M1-17</t>
        </is>
      </c>
      <c r="D17" s="24" t="inlineStr">
        <is>
          <t>Enlaces de WhatsApp gratuitos y SMS solo para recuperar el PIN.</t>
        </is>
      </c>
      <c r="E17" s="24" t="inlineStr">
        <is>
          <t>En MVP (Sprint 0)</t>
        </is>
      </c>
    </row>
    <row r="18">
      <c r="A18" s="18" t="inlineStr">
        <is>
          <t>P8-7</t>
        </is>
      </c>
      <c r="B18" s="24" t="inlineStr">
        <is>
          <t>Respuestas: boleta y diploma se difieren.</t>
        </is>
      </c>
      <c r="C18" s="24" t="inlineStr">
        <is>
          <t>M2B-05, M2A-11</t>
        </is>
      </c>
      <c r="D18" s="24" t="inlineStr">
        <is>
          <t>Fase 3.</t>
        </is>
      </c>
      <c r="E18" s="24" t="inlineStr">
        <is>
          <t>Posterior</t>
        </is>
      </c>
    </row>
    <row r="19">
      <c r="A19" s="18" t="inlineStr">
        <is>
          <t>v3.1</t>
        </is>
      </c>
      <c r="B19" s="24" t="inlineStr">
        <is>
          <t>Corrección: asistentes de grupo son miembros o invitados.</t>
        </is>
      </c>
      <c r="C19" s="24" t="inlineStr">
        <is>
          <t>M3-09, M1-13</t>
        </is>
      </c>
      <c r="D19" s="24" t="inlineStr">
        <is>
          <t>Contacto para invitados del grupo.</t>
        </is>
      </c>
      <c r="E19" s="24" t="inlineStr">
        <is>
          <t>Incorporado en v3.2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32" customWidth="1" min="2" max="2"/>
    <col width="34" customWidth="1" min="3" max="3"/>
    <col width="18" customWidth="1" min="4" max="4"/>
  </cols>
  <sheetData>
    <row r="1">
      <c r="A1" s="23" t="inlineStr">
        <is>
          <t>Necesidad del levantamiento original (v1)</t>
        </is>
      </c>
      <c r="B1" s="23" t="inlineStr">
        <is>
          <t>Requerimientos actuales</t>
        </is>
      </c>
      <c r="C1" s="23" t="inlineStr">
        <is>
          <t>Situación</t>
        </is>
      </c>
      <c r="D1" s="23" t="inlineStr">
        <is>
          <t>Alcance</t>
        </is>
      </c>
    </row>
    <row r="2">
      <c r="A2" s="24" t="inlineStr">
        <is>
          <t>Roles con permisos distintos por módulo (Pastor, ancianos, líderes, servidores)</t>
        </is>
      </c>
      <c r="B2" s="24" t="inlineStr">
        <is>
          <t>M1-07, M1-08</t>
        </is>
      </c>
      <c r="C2" s="24" t="inlineStr">
        <is>
          <t>Cubierto</t>
        </is>
      </c>
      <c r="D2" s="24" t="inlineStr">
        <is>
          <t>MVP</t>
        </is>
      </c>
    </row>
    <row r="3">
      <c r="A3" s="24" t="inlineStr">
        <is>
          <t>Cursos de vida: listas de asistencia</t>
        </is>
      </c>
      <c r="B3" s="24" t="inlineStr">
        <is>
          <t>M2A-04</t>
        </is>
      </c>
      <c r="C3" s="24" t="inlineStr">
        <is>
          <t>Cubierto</t>
        </is>
      </c>
      <c r="D3" s="24" t="inlineStr">
        <is>
          <t>Fase 3</t>
        </is>
      </c>
    </row>
    <row r="4">
      <c r="A4" s="24" t="inlineStr">
        <is>
          <t>Cursos de vida: control de tareas o actividades (no requerido)</t>
        </is>
      </c>
      <c r="B4" s="24" t="inlineStr">
        <is>
          <t>M2A-05</t>
        </is>
      </c>
      <c r="C4" s="24" t="inlineStr">
        <is>
          <t>Cubierto</t>
        </is>
      </c>
      <c r="D4" s="24" t="inlineStr">
        <is>
          <t>Fase 3</t>
        </is>
      </c>
    </row>
    <row r="5">
      <c r="A5" s="24" t="inlineStr">
        <is>
          <t>Cursos de vida: evolución del ponente</t>
        </is>
      </c>
      <c r="B5" s="24" t="inlineStr">
        <is>
          <t>M2A-10</t>
        </is>
      </c>
      <c r="C5" s="25" t="inlineStr">
        <is>
          <t>Recuperado en v3</t>
        </is>
      </c>
      <c r="D5" s="24" t="inlineStr">
        <is>
          <t>Fase 3</t>
        </is>
      </c>
    </row>
    <row r="6">
      <c r="A6" s="24" t="inlineStr">
        <is>
          <t>Cursos de vida: anuncios y tablero tipo WhatsApp antes y después del curso</t>
        </is>
      </c>
      <c r="B6" s="24" t="inlineStr">
        <is>
          <t>M2A-08</t>
        </is>
      </c>
      <c r="C6" s="25" t="inlineStr">
        <is>
          <t>Recuperado en v3</t>
        </is>
      </c>
      <c r="D6" s="24" t="inlineStr">
        <is>
          <t>Fase 3</t>
        </is>
      </c>
    </row>
    <row r="7">
      <c r="A7" s="24" t="inlineStr">
        <is>
          <t>Cursos de vida: inscripción, adeudo y qué incluye el costo</t>
        </is>
      </c>
      <c r="B7" s="24" t="inlineStr">
        <is>
          <t>M2A-06, M2A-07</t>
        </is>
      </c>
      <c r="C7" s="24" t="inlineStr">
        <is>
          <t>Cubierto</t>
        </is>
      </c>
      <c r="D7" s="24" t="inlineStr">
        <is>
          <t>Fase 3</t>
        </is>
      </c>
    </row>
    <row r="8">
      <c r="A8" s="24" t="inlineStr">
        <is>
          <t>Cursos de vida: cambio de día, ponente y reposición de clases</t>
        </is>
      </c>
      <c r="B8" s="24" t="inlineStr">
        <is>
          <t>M2A-02, M2A-03</t>
        </is>
      </c>
      <c r="C8" s="24" t="inlineStr">
        <is>
          <t>Cubierto</t>
        </is>
      </c>
      <c r="D8" s="24" t="inlineStr">
        <is>
          <t>Fase 3</t>
        </is>
      </c>
    </row>
    <row r="9">
      <c r="A9" s="24" t="inlineStr">
        <is>
          <t>Cursos de vida: evaluación de ponentes diseñable (tipo Google Forms)</t>
        </is>
      </c>
      <c r="B9" s="24" t="inlineStr">
        <is>
          <t>M2A-09, CFG-01</t>
        </is>
      </c>
      <c r="C9" s="24" t="inlineStr">
        <is>
          <t>Cubierto</t>
        </is>
      </c>
      <c r="D9" s="24" t="inlineStr">
        <is>
          <t>Fase 3</t>
        </is>
      </c>
    </row>
    <row r="10">
      <c r="A10" s="24" t="inlineStr">
        <is>
          <t>Cursos de vida: reconocimiento opcional</t>
        </is>
      </c>
      <c r="B10" s="24" t="inlineStr">
        <is>
          <t>M2A-11</t>
        </is>
      </c>
      <c r="C10" s="24" t="inlineStr">
        <is>
          <t>Cubierto</t>
        </is>
      </c>
      <c r="D10" s="24" t="inlineStr">
        <is>
          <t>Fase 3</t>
        </is>
      </c>
    </row>
    <row r="11">
      <c r="A11" s="24" t="inlineStr">
        <is>
          <t>Cursos «Resolución de varones» y «Toma de buenas decisiones»</t>
        </is>
      </c>
      <c r="B11" s="24" t="inlineStr">
        <is>
          <t>M2A-01</t>
        </is>
      </c>
      <c r="C11" s="25" t="inlineStr">
        <is>
          <t>Recuperado en v3</t>
        </is>
      </c>
      <c r="D11" s="24" t="inlineStr">
        <is>
          <t>Fase 3</t>
        </is>
      </c>
    </row>
    <row r="12">
      <c r="A12" s="24" t="inlineStr">
        <is>
          <t>Cursos escolarizados: asistencia, tareas, calificación, exámenes y boleta con formato</t>
        </is>
      </c>
      <c r="B12" s="24" t="inlineStr">
        <is>
          <t>M2B-01 a M2B-06</t>
        </is>
      </c>
      <c r="C12" s="24" t="inlineStr">
        <is>
          <t>Cubierto</t>
        </is>
      </c>
      <c r="D12" s="24" t="inlineStr">
        <is>
          <t>Fase 3</t>
        </is>
      </c>
    </row>
    <row r="13">
      <c r="A13" s="24" t="inlineStr">
        <is>
          <t>Control de personal por área (número de áreas y servidores)</t>
        </is>
      </c>
      <c r="B13" s="24" t="inlineStr">
        <is>
          <t>M5-01, M5-03</t>
        </is>
      </c>
      <c r="C13" s="24" t="inlineStr">
        <is>
          <t>Cubierto (mínimo en MVP)</t>
        </is>
      </c>
      <c r="D13" s="24" t="inlineStr">
        <is>
          <t>MVP mínimo</t>
        </is>
      </c>
    </row>
    <row r="14">
      <c r="A14" s="24" t="inlineStr">
        <is>
          <t>Roles jerárquicos dentro de cada área</t>
        </is>
      </c>
      <c r="B14" s="24" t="inlineStr">
        <is>
          <t>M5-02</t>
        </is>
      </c>
      <c r="C14" s="25" t="inlineStr">
        <is>
          <t>Recuperado en v3</t>
        </is>
      </c>
      <c r="D14" s="24" t="inlineStr">
        <is>
          <t>Fase 4</t>
        </is>
      </c>
    </row>
    <row r="15">
      <c r="A15" s="24" t="inlineStr">
        <is>
          <t>Control de personal, financiero, asistencia y tablero por área</t>
        </is>
      </c>
      <c r="B15" s="24" t="inlineStr">
        <is>
          <t>M5-04, M5-05, M5-06</t>
        </is>
      </c>
      <c r="C15" s="24" t="inlineStr">
        <is>
          <t>Cubierto</t>
        </is>
      </c>
      <c r="D15" s="24" t="inlineStr">
        <is>
          <t>Fase 4</t>
        </is>
      </c>
    </row>
    <row r="16">
      <c r="A16" s="24" t="inlineStr">
        <is>
          <t>Expediente digital con foto y datos configurables</t>
        </is>
      </c>
      <c r="B16" s="24" t="inlineStr">
        <is>
          <t>M1-01, M1-02</t>
        </is>
      </c>
      <c r="C16" s="24" t="inlineStr">
        <is>
          <t>Cubierto</t>
        </is>
      </c>
      <c r="D16" s="24" t="inlineStr">
        <is>
          <t>MVP</t>
        </is>
      </c>
    </row>
    <row r="17">
      <c r="A17" s="24" t="inlineStr">
        <is>
          <t>Control de asistentes: consolidación y eventos evangelísticos</t>
        </is>
      </c>
      <c r="B17" s="24" t="inlineStr">
        <is>
          <t>M7-01, M7-02, M7-05</t>
        </is>
      </c>
      <c r="C17" s="25" t="inlineStr">
        <is>
          <t>Recuperado en v3</t>
        </is>
      </c>
      <c r="D17" s="24" t="inlineStr">
        <is>
          <t>Fase 4</t>
        </is>
      </c>
    </row>
    <row r="18">
      <c r="A18" s="24" t="inlineStr">
        <is>
          <t>Encargados de evento (solo personal de la iglesia)</t>
        </is>
      </c>
      <c r="B18" s="24" t="inlineStr">
        <is>
          <t>M7-03</t>
        </is>
      </c>
      <c r="C18" s="25" t="inlineStr">
        <is>
          <t>Recuperado en v3</t>
        </is>
      </c>
      <c r="D18" s="24" t="inlineStr">
        <is>
          <t>Fase 4</t>
        </is>
      </c>
    </row>
    <row r="19">
      <c r="A19" s="24" t="inlineStr">
        <is>
          <t>Cafetería, librería, fundación y servicio médico: personal, calendario, gastos, menú y comunicación</t>
        </is>
      </c>
      <c r="B19" s="24" t="inlineStr">
        <is>
          <t>M6-01 a M6-07</t>
        </is>
      </c>
      <c r="C19" s="24" t="inlineStr">
        <is>
          <t>Cubierto</t>
        </is>
      </c>
      <c r="D19" s="24" t="inlineStr">
        <is>
          <t>Fase 4</t>
        </is>
      </c>
    </row>
    <row r="20">
      <c r="A20" s="24" t="inlineStr">
        <is>
          <t>Control para recoger niños (ficha física con riesgo de pérdida)</t>
        </is>
      </c>
      <c r="B20" s="24" t="inlineStr">
        <is>
          <t>M4-01 a M4-08</t>
        </is>
      </c>
      <c r="C20" s="24" t="inlineStr">
        <is>
          <t>Cubierto</t>
        </is>
      </c>
      <c r="D20" s="24" t="inlineStr">
        <is>
          <t>Fase 2</t>
        </is>
      </c>
    </row>
    <row r="21">
      <c r="A21" s="24" t="inlineStr">
        <is>
          <t>Avisos para la iglesia en general, también para quien no asiste el día de avisos</t>
        </is>
      </c>
      <c r="B21" s="24" t="inlineStr">
        <is>
          <t>M1-09, M1-10</t>
        </is>
      </c>
      <c r="C21" s="24" t="inlineStr">
        <is>
          <t>Cubierto</t>
        </is>
      </c>
      <c r="D21" s="24" t="inlineStr">
        <is>
          <t>MVP</t>
        </is>
      </c>
    </row>
    <row r="22">
      <c r="A22" s="24" t="inlineStr">
        <is>
          <t>Grupos de conexión: estructura Supervisor, Líder, Secretario, Anfitrión</t>
        </is>
      </c>
      <c r="B22" s="24" t="inlineStr">
        <is>
          <t>M3-01</t>
        </is>
      </c>
      <c r="C22" s="24" t="inlineStr">
        <is>
          <t>Cubierto (Tesorero añadido)</t>
        </is>
      </c>
      <c r="D22" s="24" t="inlineStr">
        <is>
          <t>MVP</t>
        </is>
      </c>
    </row>
    <row r="23">
      <c r="A23" s="24" t="inlineStr">
        <is>
          <t>Grupos de conexión: estudio por WhatsApp</t>
        </is>
      </c>
      <c r="B23" s="24" t="inlineStr">
        <is>
          <t>M3-02</t>
        </is>
      </c>
      <c r="C23" s="24" t="inlineStr">
        <is>
          <t>Cubierto</t>
        </is>
      </c>
      <c r="D23" s="24" t="inlineStr">
        <is>
          <t>MVP</t>
        </is>
      </c>
    </row>
    <row r="24">
      <c r="A24" s="24" t="inlineStr">
        <is>
          <t>Grupos de conexión: lista de asistencia</t>
        </is>
      </c>
      <c r="B24" s="24" t="inlineStr">
        <is>
          <t>M3-03</t>
        </is>
      </c>
      <c r="C24" s="24" t="inlineStr">
        <is>
          <t>Cubierto</t>
        </is>
      </c>
      <c r="D24" s="24" t="inlineStr">
        <is>
          <t>MVP</t>
        </is>
      </c>
    </row>
    <row r="25">
      <c r="A25" s="24" t="inlineStr">
        <is>
          <t>Grupos de conexión: ofrendas regulares y especiales</t>
        </is>
      </c>
      <c r="B25" s="24" t="inlineStr">
        <is>
          <t>M3-04</t>
        </is>
      </c>
      <c r="C25" s="24" t="inlineStr">
        <is>
          <t>Cubierto</t>
        </is>
      </c>
      <c r="D25" s="24" t="inlineStr">
        <is>
          <t>MVP</t>
        </is>
      </c>
    </row>
    <row r="26">
      <c r="A26" s="24" t="inlineStr">
        <is>
          <t>Grupos de conexión: peticiones de oración con formulario cambiante</t>
        </is>
      </c>
      <c r="B26" s="24" t="inlineStr">
        <is>
          <t>M3-05, CFG-01</t>
        </is>
      </c>
      <c r="C26" s="24" t="inlineStr">
        <is>
          <t>Cubierto</t>
        </is>
      </c>
      <c r="D26" s="24" t="inlineStr">
        <is>
          <t>MVP</t>
        </is>
      </c>
    </row>
    <row r="27">
      <c r="A27" s="24" t="inlineStr">
        <is>
          <t>Grupos de conexión: el supervisor reporta al Pastor</t>
        </is>
      </c>
      <c r="B27" s="24" t="inlineStr">
        <is>
          <t>M3-01, M3-07</t>
        </is>
      </c>
      <c r="C27" s="24" t="inlineStr">
        <is>
          <t>Cubierto</t>
        </is>
      </c>
      <c r="D27" s="24" t="inlineStr">
        <is>
          <t>MVP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2026-10-03T01:12:26Z</dcterms:created>
  <dcterms:modified xmlns:dcterms="http://purl.org/dc/terms/" xmlns:xsi="http://www.w3.org/2001/XMLSchema-instance" xsi:type="dcterms:W3CDTF">2026-10-03T01:12:26Z</dcterms:modified>
</cp:coreProperties>
</file>