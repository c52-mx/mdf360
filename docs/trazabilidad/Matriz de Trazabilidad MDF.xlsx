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yenda" sheetId="1" state="visible" r:id="rId1"/>
    <sheet xmlns:r="http://schemas.openxmlformats.org/officeDocument/2006/relationships" name="Resumen" sheetId="2" state="visible" r:id="rId2"/>
    <sheet xmlns:r="http://schemas.openxmlformats.org/officeDocument/2006/relationships" name="Matriz" sheetId="3" state="visible" r:id="rId3"/>
    <sheet xmlns:r="http://schemas.openxmlformats.org/officeDocument/2006/relationships" name="Observaciones" sheetId="4" state="visible" r:id="rId4"/>
    <sheet xmlns:r="http://schemas.openxmlformats.org/officeDocument/2006/relationships" name="Origen v1" sheetId="5" state="visible" r:id="rId5"/>
  </sheets>
  <definedNames>
    <definedName name="_xlnm._FilterDatabase" localSheetId="2" hidden="1">'Matriz'!$A$1:$N$105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color rgb="00595959"/>
      <sz val="10"/>
    </font>
    <font>
      <name val="Arial"/>
      <b val="1"/>
      <color rgb="00FFFFFF"/>
      <sz val="10"/>
    </font>
    <font>
      <name val="Arial"/>
      <b val="1"/>
      <sz val="10"/>
    </font>
    <font>
      <name val="Arial"/>
      <sz val="10"/>
    </font>
    <font>
      <name val="Arial"/>
      <color rgb="00000000"/>
      <sz val="10"/>
    </font>
    <font>
      <name val="Arial"/>
      <color rgb="007F7F7F"/>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3" fillId="2" borderId="1" applyAlignment="1" pivotButton="0" quotePrefix="0" xfId="0">
      <alignment horizontal="left" wrapText="1"/>
    </xf>
    <xf numFmtId="0" fontId="3" fillId="2" borderId="1" applyAlignment="1" pivotButton="0" quotePrefix="0" xfId="0">
      <alignment horizontal="center" wrapText="1"/>
    </xf>
    <xf numFmtId="0" fontId="5" fillId="0" borderId="1" pivotButton="0" quotePrefix="0" xfId="0"/>
    <xf numFmtId="0" fontId="5" fillId="0" borderId="1" applyAlignment="1" pivotButton="0" quotePrefix="0" xfId="0">
      <alignment horizontal="center"/>
    </xf>
    <xf numFmtId="9" fontId="5" fillId="0"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9" fontId="4" fillId="0" borderId="1" applyAlignment="1" pivotButton="0" quotePrefix="0" xfId="0">
      <alignment horizontal="center"/>
    </xf>
    <xf numFmtId="0" fontId="3" fillId="2" borderId="1" applyAlignment="1" pivotButton="0" quotePrefix="0" xfId="0">
      <alignment vertical="center"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3" fillId="2" borderId="1" pivotButton="0" quotePrefix="0" xfId="0"/>
    <xf numFmtId="0" fontId="5"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dxfs count="6">
    <dxf>
      <fill>
        <patternFill patternType="solid">
          <fgColor rgb="00C6EFCE"/>
          <bgColor rgb="00C6EFCE"/>
        </patternFill>
      </fill>
    </dxf>
    <dxf>
      <fill>
        <patternFill patternType="solid">
          <fgColor rgb="00DDEBF7"/>
          <bgColor rgb="00DDEBF7"/>
        </patternFill>
      </fill>
    </dxf>
    <dxf>
      <fill>
        <patternFill patternType="solid">
          <fgColor rgb="00FFEB9C"/>
          <bgColor rgb="00FFEB9C"/>
        </patternFill>
      </fill>
    </dxf>
    <dxf>
      <fill>
        <patternFill patternType="solid">
          <fgColor rgb="00FFF2CC"/>
          <bgColor rgb="00FFF2CC"/>
        </patternFill>
      </fill>
    </dxf>
    <dxf>
      <fill>
        <patternFill patternType="solid">
          <fgColor rgb="00FFC7CE"/>
          <bgColor rgb="00FFC7CE"/>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10" customWidth="1" min="2" max="2"/>
  </cols>
  <sheetData>
    <row r="1">
      <c r="A1" s="1" t="inlineStr">
        <is>
          <t>Matriz de trazabilidad · Mundo de Fe México</t>
        </is>
      </c>
    </row>
    <row r="2">
      <c r="A2" s="2" t="inlineStr">
        <is>
          <t>Base: documentos v3 y v3.2 (MVP). Versión 1.0 de la matriz · borrador para VoBo.</t>
        </is>
      </c>
    </row>
    <row r="4">
      <c r="A4" s="3" t="inlineStr">
        <is>
          <t>Cómo usarla</t>
        </is>
      </c>
      <c r="B4" s="4" t="n"/>
    </row>
    <row r="5">
      <c r="A5" s="5" t="inlineStr">
        <is>
          <t>Hoja Matriz</t>
        </is>
      </c>
      <c r="B5" s="6" t="inlineStr">
        <is>
          <t>Una fila por requerimiento. Las columnas A a H salen de los documentos; I y J son un borrador de historia y criterio de aceptación para lo que entra al MVP. Completa K, L y M durante el desarrollo.</t>
        </is>
      </c>
    </row>
    <row r="6">
      <c r="A6" s="5" t="inlineStr">
        <is>
          <t>Hoja Observaciones</t>
        </is>
      </c>
      <c r="B6" s="6" t="inlineStr">
        <is>
          <t>Rastrea cada observación del v3 hacia los requerimientos que la atienden.</t>
        </is>
      </c>
    </row>
    <row r="7">
      <c r="A7" s="5" t="inlineStr">
        <is>
          <t>Hoja Origen v1</t>
        </is>
      </c>
      <c r="B7" s="6" t="inlineStr">
        <is>
          <t>Rastrea cada necesidad del levantamiento original (v1) hacia los requerimientos actuales; sirve para detectar pérdidas entre versiones.</t>
        </is>
      </c>
    </row>
    <row r="8">
      <c r="A8" s="5" t="inlineStr">
        <is>
          <t>Hoja Resumen</t>
        </is>
      </c>
      <c r="B8" s="6" t="inlineStr">
        <is>
          <t>Avance por fase, hito y estado. Se calcula con fórmulas a partir de la hoja Matriz: no se edita.</t>
        </is>
      </c>
    </row>
    <row r="9">
      <c r="A9" s="3" t="inlineStr">
        <is>
          <t>Columnas editables</t>
        </is>
      </c>
      <c r="B9" s="4" t="n"/>
    </row>
    <row r="10">
      <c r="A10" s="5" t="inlineStr">
        <is>
          <t>Estado</t>
        </is>
      </c>
      <c r="B10" s="6" t="inlineStr">
        <is>
          <t>Elige de la lista: Pendiente, En diseño, En desarrollo, En pruebas, Hecho, Bloqueado. Ejemplo: En pruebas.</t>
        </is>
      </c>
    </row>
    <row r="11">
      <c r="A11" s="5" t="inlineStr">
        <is>
          <t>Evidencia</t>
        </is>
      </c>
      <c r="B11" s="6" t="inlineStr">
        <is>
          <t>Enlace o referencia que demuestra el avance (rama, pantalla del lienzo, resultado de la prueba). Ejemplo: Rama feature/m1-17-acceso · Prueba P-017 aprobada.</t>
        </is>
      </c>
    </row>
    <row r="12">
      <c r="A12" s="5" t="inlineStr">
        <is>
          <t>Notas</t>
        </is>
      </c>
      <c r="B12" s="6" t="inlineStr">
        <is>
          <t>Dudas, decisiones y cambios al requerimiento. Ejemplo: 2026-10-10 · PIN de 6 dígitos confirmado con el Pastor.</t>
        </is>
      </c>
    </row>
    <row r="13">
      <c r="A13" s="3" t="inlineStr">
        <is>
          <t>Hitos</t>
        </is>
      </c>
      <c r="B13" s="4" t="n"/>
    </row>
    <row r="14">
      <c r="A14" s="5" t="inlineStr">
        <is>
          <t>H1 · 18-oct (núcleo Fase 0)</t>
        </is>
      </c>
      <c r="B14" s="6" t="inlineStr">
        <is>
          <t>Objetivo para el 18 de octubre: acceso con WhatsApp + PIN, expediente (EDU) y Contacto, consentimiento, roles base, bitácora, respaldos y despliegue. Es un núcleo, no la Fase 0 completa.</t>
        </is>
      </c>
    </row>
    <row r="15">
      <c r="A15" s="5" t="inlineStr">
        <is>
          <t>H2 · Fase 0 completa</t>
        </is>
      </c>
      <c r="B15" s="6" t="inlineStr">
        <is>
          <t>Avisos y notificaciones, plantillas, diseñador de formularios, permisos por área, seguimiento a visitantes y catálogo de áreas. Estimado: unas 3 semanas después de H1 si se mantiene el ritmo (estimación mía, a recalibrar).</t>
        </is>
      </c>
    </row>
    <row r="16">
      <c r="A16" s="5" t="inlineStr">
        <is>
          <t>H3 · MVP (Grupos)</t>
        </is>
      </c>
      <c r="B16" s="6" t="inlineStr">
        <is>
          <t>Módulo Grupos de Conexión completo, pase de lista sin conexión y dashboards.</t>
        </is>
      </c>
    </row>
    <row r="17">
      <c r="A17" s="5" t="inlineStr">
        <is>
          <t>Posterior</t>
        </is>
      </c>
      <c r="B17" s="6" t="inlineStr">
        <is>
          <t>Fases 2 a 5: Kids, Cursos, Áreas completas, Ministerios, Eventos, vehículos y app nativa.</t>
        </is>
      </c>
    </row>
    <row r="18">
      <c r="A18" s="3" t="inlineStr">
        <is>
          <t>Origen (colores)</t>
        </is>
      </c>
      <c r="B18" s="4" t="n"/>
    </row>
    <row r="19">
      <c r="A19" s="7" t="inlineStr">
        <is>
          <t>Verde</t>
        </is>
      </c>
      <c r="B19" s="6" t="inlineStr">
        <is>
          <t>Recuperado del levantamiento original (v1).</t>
        </is>
      </c>
    </row>
    <row r="20">
      <c r="A20" s="8" t="inlineStr">
        <is>
          <t>Amarillo</t>
        </is>
      </c>
      <c r="B20" s="6" t="inlineStr">
        <is>
          <t>Nuevo o corregido en versiones posteriores (observaciones, respuestas, v3.1 o v3.2).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Resumen de avance</t>
        </is>
      </c>
    </row>
    <row r="2">
      <c r="A2" s="2" t="inlineStr">
        <is>
          <t>Se calcula con fórmulas a partir de la hoja Matriz. No editar.</t>
        </is>
      </c>
    </row>
    <row r="4">
      <c r="A4" s="9" t="inlineStr">
        <is>
          <t>Fase</t>
        </is>
      </c>
      <c r="B4" s="10" t="inlineStr">
        <is>
          <t>Total</t>
        </is>
      </c>
      <c r="C4" s="10" t="inlineStr">
        <is>
          <t>Pendiente</t>
        </is>
      </c>
      <c r="D4" s="10" t="inlineStr">
        <is>
          <t>En diseño</t>
        </is>
      </c>
      <c r="E4" s="10" t="inlineStr">
        <is>
          <t>En desarrollo</t>
        </is>
      </c>
      <c r="F4" s="10" t="inlineStr">
        <is>
          <t>En pruebas</t>
        </is>
      </c>
      <c r="G4" s="10" t="inlineStr">
        <is>
          <t>Hecho</t>
        </is>
      </c>
      <c r="H4" s="10" t="inlineStr">
        <is>
          <t>Bloqueado</t>
        </is>
      </c>
      <c r="I4" s="10" t="inlineStr">
        <is>
          <t>% Hecho</t>
        </is>
      </c>
    </row>
    <row r="5">
      <c r="A5" s="11" t="inlineStr">
        <is>
          <t>Fase 0</t>
        </is>
      </c>
      <c r="B5" s="12">
        <f>COUNTIF(Matriz!$F$2:$F$105,$A5)</f>
        <v/>
      </c>
      <c r="C5" s="12">
        <f>COUNTIFS(Matriz!$F$2:$F$105,$A5,Matriz!$L$2:$L$105,"Pendiente")</f>
        <v/>
      </c>
      <c r="D5" s="12">
        <f>COUNTIFS(Matriz!$F$2:$F$105,$A5,Matriz!$L$2:$L$105,"En diseño")</f>
        <v/>
      </c>
      <c r="E5" s="12">
        <f>COUNTIFS(Matriz!$F$2:$F$105,$A5,Matriz!$L$2:$L$105,"En desarrollo")</f>
        <v/>
      </c>
      <c r="F5" s="12">
        <f>COUNTIFS(Matriz!$F$2:$F$105,$A5,Matriz!$L$2:$L$105,"En pruebas")</f>
        <v/>
      </c>
      <c r="G5" s="12">
        <f>COUNTIFS(Matriz!$F$2:$F$105,$A5,Matriz!$L$2:$L$105,"Hecho")</f>
        <v/>
      </c>
      <c r="H5" s="12">
        <f>COUNTIFS(Matriz!$F$2:$F$105,$A5,Matriz!$L$2:$L$105,"Bloqueado")</f>
        <v/>
      </c>
      <c r="I5" s="13">
        <f>IF(B5=0,0,G5/B5)</f>
        <v/>
      </c>
    </row>
    <row r="6">
      <c r="A6" s="11" t="inlineStr">
        <is>
          <t>Fase 1</t>
        </is>
      </c>
      <c r="B6" s="12">
        <f>COUNTIF(Matriz!$F$2:$F$105,$A6)</f>
        <v/>
      </c>
      <c r="C6" s="12">
        <f>COUNTIFS(Matriz!$F$2:$F$105,$A6,Matriz!$L$2:$L$105,"Pendiente")</f>
        <v/>
      </c>
      <c r="D6" s="12">
        <f>COUNTIFS(Matriz!$F$2:$F$105,$A6,Matriz!$L$2:$L$105,"En diseño")</f>
        <v/>
      </c>
      <c r="E6" s="12">
        <f>COUNTIFS(Matriz!$F$2:$F$105,$A6,Matriz!$L$2:$L$105,"En desarrollo")</f>
        <v/>
      </c>
      <c r="F6" s="12">
        <f>COUNTIFS(Matriz!$F$2:$F$105,$A6,Matriz!$L$2:$L$105,"En pruebas")</f>
        <v/>
      </c>
      <c r="G6" s="12">
        <f>COUNTIFS(Matriz!$F$2:$F$105,$A6,Matriz!$L$2:$L$105,"Hecho")</f>
        <v/>
      </c>
      <c r="H6" s="12">
        <f>COUNTIFS(Matriz!$F$2:$F$105,$A6,Matriz!$L$2:$L$105,"Bloqueado")</f>
        <v/>
      </c>
      <c r="I6" s="13">
        <f>IF(B6=0,0,G6/B6)</f>
        <v/>
      </c>
    </row>
    <row r="7">
      <c r="A7" s="11" t="inlineStr">
        <is>
          <t>Fase 2</t>
        </is>
      </c>
      <c r="B7" s="12">
        <f>COUNTIF(Matriz!$F$2:$F$105,$A7)</f>
        <v/>
      </c>
      <c r="C7" s="12">
        <f>COUNTIFS(Matriz!$F$2:$F$105,$A7,Matriz!$L$2:$L$105,"Pendiente")</f>
        <v/>
      </c>
      <c r="D7" s="12">
        <f>COUNTIFS(Matriz!$F$2:$F$105,$A7,Matriz!$L$2:$L$105,"En diseño")</f>
        <v/>
      </c>
      <c r="E7" s="12">
        <f>COUNTIFS(Matriz!$F$2:$F$105,$A7,Matriz!$L$2:$L$105,"En desarrollo")</f>
        <v/>
      </c>
      <c r="F7" s="12">
        <f>COUNTIFS(Matriz!$F$2:$F$105,$A7,Matriz!$L$2:$L$105,"En pruebas")</f>
        <v/>
      </c>
      <c r="G7" s="12">
        <f>COUNTIFS(Matriz!$F$2:$F$105,$A7,Matriz!$L$2:$L$105,"Hecho")</f>
        <v/>
      </c>
      <c r="H7" s="12">
        <f>COUNTIFS(Matriz!$F$2:$F$105,$A7,Matriz!$L$2:$L$105,"Bloqueado")</f>
        <v/>
      </c>
      <c r="I7" s="13">
        <f>IF(B7=0,0,G7/B7)</f>
        <v/>
      </c>
    </row>
    <row r="8">
      <c r="A8" s="11" t="inlineStr">
        <is>
          <t>Fase 3</t>
        </is>
      </c>
      <c r="B8" s="12">
        <f>COUNTIF(Matriz!$F$2:$F$105,$A8)</f>
        <v/>
      </c>
      <c r="C8" s="12">
        <f>COUNTIFS(Matriz!$F$2:$F$105,$A8,Matriz!$L$2:$L$105,"Pendiente")</f>
        <v/>
      </c>
      <c r="D8" s="12">
        <f>COUNTIFS(Matriz!$F$2:$F$105,$A8,Matriz!$L$2:$L$105,"En diseño")</f>
        <v/>
      </c>
      <c r="E8" s="12">
        <f>COUNTIFS(Matriz!$F$2:$F$105,$A8,Matriz!$L$2:$L$105,"En desarrollo")</f>
        <v/>
      </c>
      <c r="F8" s="12">
        <f>COUNTIFS(Matriz!$F$2:$F$105,$A8,Matriz!$L$2:$L$105,"En pruebas")</f>
        <v/>
      </c>
      <c r="G8" s="12">
        <f>COUNTIFS(Matriz!$F$2:$F$105,$A8,Matriz!$L$2:$L$105,"Hecho")</f>
        <v/>
      </c>
      <c r="H8" s="12">
        <f>COUNTIFS(Matriz!$F$2:$F$105,$A8,Matriz!$L$2:$L$105,"Bloqueado")</f>
        <v/>
      </c>
      <c r="I8" s="13">
        <f>IF(B8=0,0,G8/B8)</f>
        <v/>
      </c>
    </row>
    <row r="9">
      <c r="A9" s="11" t="inlineStr">
        <is>
          <t>Fase 4</t>
        </is>
      </c>
      <c r="B9" s="12">
        <f>COUNTIF(Matriz!$F$2:$F$105,$A9)</f>
        <v/>
      </c>
      <c r="C9" s="12">
        <f>COUNTIFS(Matriz!$F$2:$F$105,$A9,Matriz!$L$2:$L$105,"Pendiente")</f>
        <v/>
      </c>
      <c r="D9" s="12">
        <f>COUNTIFS(Matriz!$F$2:$F$105,$A9,Matriz!$L$2:$L$105,"En diseño")</f>
        <v/>
      </c>
      <c r="E9" s="12">
        <f>COUNTIFS(Matriz!$F$2:$F$105,$A9,Matriz!$L$2:$L$105,"En desarrollo")</f>
        <v/>
      </c>
      <c r="F9" s="12">
        <f>COUNTIFS(Matriz!$F$2:$F$105,$A9,Matriz!$L$2:$L$105,"En pruebas")</f>
        <v/>
      </c>
      <c r="G9" s="12">
        <f>COUNTIFS(Matriz!$F$2:$F$105,$A9,Matriz!$L$2:$L$105,"Hecho")</f>
        <v/>
      </c>
      <c r="H9" s="12">
        <f>COUNTIFS(Matriz!$F$2:$F$105,$A9,Matriz!$L$2:$L$105,"Bloqueado")</f>
        <v/>
      </c>
      <c r="I9" s="13">
        <f>IF(B9=0,0,G9/B9)</f>
        <v/>
      </c>
    </row>
    <row r="10">
      <c r="A10" s="11" t="inlineStr">
        <is>
          <t>Fase 5</t>
        </is>
      </c>
      <c r="B10" s="12">
        <f>COUNTIF(Matriz!$F$2:$F$105,$A10)</f>
        <v/>
      </c>
      <c r="C10" s="12">
        <f>COUNTIFS(Matriz!$F$2:$F$105,$A10,Matriz!$L$2:$L$105,"Pendiente")</f>
        <v/>
      </c>
      <c r="D10" s="12">
        <f>COUNTIFS(Matriz!$F$2:$F$105,$A10,Matriz!$L$2:$L$105,"En diseño")</f>
        <v/>
      </c>
      <c r="E10" s="12">
        <f>COUNTIFS(Matriz!$F$2:$F$105,$A10,Matriz!$L$2:$L$105,"En desarrollo")</f>
        <v/>
      </c>
      <c r="F10" s="12">
        <f>COUNTIFS(Matriz!$F$2:$F$105,$A10,Matriz!$L$2:$L$105,"En pruebas")</f>
        <v/>
      </c>
      <c r="G10" s="12">
        <f>COUNTIFS(Matriz!$F$2:$F$105,$A10,Matriz!$L$2:$L$105,"Hecho")</f>
        <v/>
      </c>
      <c r="H10" s="12">
        <f>COUNTIFS(Matriz!$F$2:$F$105,$A10,Matriz!$L$2:$L$105,"Bloqueado")</f>
        <v/>
      </c>
      <c r="I10" s="13">
        <f>IF(B10=0,0,G10/B10)</f>
        <v/>
      </c>
    </row>
    <row r="11">
      <c r="A11" s="11" t="inlineStr">
        <is>
          <t>Transversal</t>
        </is>
      </c>
      <c r="B11" s="12">
        <f>COUNTIF(Matriz!$F$2:$F$105,$A11)</f>
        <v/>
      </c>
      <c r="C11" s="12">
        <f>COUNTIFS(Matriz!$F$2:$F$105,$A11,Matriz!$L$2:$L$105,"Pendiente")</f>
        <v/>
      </c>
      <c r="D11" s="12">
        <f>COUNTIFS(Matriz!$F$2:$F$105,$A11,Matriz!$L$2:$L$105,"En diseño")</f>
        <v/>
      </c>
      <c r="E11" s="12">
        <f>COUNTIFS(Matriz!$F$2:$F$105,$A11,Matriz!$L$2:$L$105,"En desarrollo")</f>
        <v/>
      </c>
      <c r="F11" s="12">
        <f>COUNTIFS(Matriz!$F$2:$F$105,$A11,Matriz!$L$2:$L$105,"En pruebas")</f>
        <v/>
      </c>
      <c r="G11" s="12">
        <f>COUNTIFS(Matriz!$F$2:$F$105,$A11,Matriz!$L$2:$L$105,"Hecho")</f>
        <v/>
      </c>
      <c r="H11" s="12">
        <f>COUNTIFS(Matriz!$F$2:$F$105,$A11,Matriz!$L$2:$L$105,"Bloqueado")</f>
        <v/>
      </c>
      <c r="I11" s="13">
        <f>IF(B11=0,0,G11/B11)</f>
        <v/>
      </c>
    </row>
    <row r="12">
      <c r="A12" s="14" t="inlineStr">
        <is>
          <t>Total</t>
        </is>
      </c>
      <c r="B12" s="15">
        <f>SUM(B5:B11)</f>
        <v/>
      </c>
      <c r="C12" s="15">
        <f>SUM(C5:C11)</f>
        <v/>
      </c>
      <c r="D12" s="15">
        <f>SUM(D5:D11)</f>
        <v/>
      </c>
      <c r="E12" s="15">
        <f>SUM(E5:E11)</f>
        <v/>
      </c>
      <c r="F12" s="15">
        <f>SUM(F5:F11)</f>
        <v/>
      </c>
      <c r="G12" s="15">
        <f>SUM(G5:G11)</f>
        <v/>
      </c>
      <c r="H12" s="15">
        <f>SUM(H5:H11)</f>
        <v/>
      </c>
      <c r="I12" s="16">
        <f>IF(B12=0,0,G12/B12)</f>
        <v/>
      </c>
    </row>
    <row r="15">
      <c r="A15" s="9" t="inlineStr">
        <is>
          <t>Hito</t>
        </is>
      </c>
      <c r="B15" s="10" t="inlineStr">
        <is>
          <t>Total</t>
        </is>
      </c>
      <c r="C15" s="10" t="inlineStr">
        <is>
          <t>Pendiente</t>
        </is>
      </c>
      <c r="D15" s="10" t="inlineStr">
        <is>
          <t>En diseño</t>
        </is>
      </c>
      <c r="E15" s="10" t="inlineStr">
        <is>
          <t>En desarrollo</t>
        </is>
      </c>
      <c r="F15" s="10" t="inlineStr">
        <is>
          <t>En pruebas</t>
        </is>
      </c>
      <c r="G15" s="10" t="inlineStr">
        <is>
          <t>Hecho</t>
        </is>
      </c>
      <c r="H15" s="10" t="inlineStr">
        <is>
          <t>Bloqueado</t>
        </is>
      </c>
      <c r="I15" s="10" t="inlineStr">
        <is>
          <t>% Hecho</t>
        </is>
      </c>
    </row>
    <row r="16">
      <c r="A16" s="11" t="inlineStr">
        <is>
          <t>H1 · 18-oct (núcleo Fase 0)</t>
        </is>
      </c>
      <c r="B16" s="12">
        <f>COUNTIF(Matriz!$H$2:$H$105,$A16)</f>
        <v/>
      </c>
      <c r="C16" s="12">
        <f>COUNTIFS(Matriz!$H$2:$H$105,$A16,Matriz!$L$2:$L$105,"Pendiente")</f>
        <v/>
      </c>
      <c r="D16" s="12">
        <f>COUNTIFS(Matriz!$H$2:$H$105,$A16,Matriz!$L$2:$L$105,"En diseño")</f>
        <v/>
      </c>
      <c r="E16" s="12">
        <f>COUNTIFS(Matriz!$H$2:$H$105,$A16,Matriz!$L$2:$L$105,"En desarrollo")</f>
        <v/>
      </c>
      <c r="F16" s="12">
        <f>COUNTIFS(Matriz!$H$2:$H$105,$A16,Matriz!$L$2:$L$105,"En pruebas")</f>
        <v/>
      </c>
      <c r="G16" s="12">
        <f>COUNTIFS(Matriz!$H$2:$H$105,$A16,Matriz!$L$2:$L$105,"Hecho")</f>
        <v/>
      </c>
      <c r="H16" s="12">
        <f>COUNTIFS(Matriz!$H$2:$H$105,$A16,Matriz!$L$2:$L$105,"Bloqueado")</f>
        <v/>
      </c>
      <c r="I16" s="13">
        <f>IF(B16=0,0,G16/B16)</f>
        <v/>
      </c>
    </row>
    <row r="17">
      <c r="A17" s="11" t="inlineStr">
        <is>
          <t>H2 · Fase 0 completa</t>
        </is>
      </c>
      <c r="B17" s="12">
        <f>COUNTIF(Matriz!$H$2:$H$105,$A17)</f>
        <v/>
      </c>
      <c r="C17" s="12">
        <f>COUNTIFS(Matriz!$H$2:$H$105,$A17,Matriz!$L$2:$L$105,"Pendiente")</f>
        <v/>
      </c>
      <c r="D17" s="12">
        <f>COUNTIFS(Matriz!$H$2:$H$105,$A17,Matriz!$L$2:$L$105,"En diseño")</f>
        <v/>
      </c>
      <c r="E17" s="12">
        <f>COUNTIFS(Matriz!$H$2:$H$105,$A17,Matriz!$L$2:$L$105,"En desarrollo")</f>
        <v/>
      </c>
      <c r="F17" s="12">
        <f>COUNTIFS(Matriz!$H$2:$H$105,$A17,Matriz!$L$2:$L$105,"En pruebas")</f>
        <v/>
      </c>
      <c r="G17" s="12">
        <f>COUNTIFS(Matriz!$H$2:$H$105,$A17,Matriz!$L$2:$L$105,"Hecho")</f>
        <v/>
      </c>
      <c r="H17" s="12">
        <f>COUNTIFS(Matriz!$H$2:$H$105,$A17,Matriz!$L$2:$L$105,"Bloqueado")</f>
        <v/>
      </c>
      <c r="I17" s="13">
        <f>IF(B17=0,0,G17/B17)</f>
        <v/>
      </c>
    </row>
    <row r="18">
      <c r="A18" s="11" t="inlineStr">
        <is>
          <t>H3 · MVP (Grupos)</t>
        </is>
      </c>
      <c r="B18" s="12">
        <f>COUNTIF(Matriz!$H$2:$H$105,$A18)</f>
        <v/>
      </c>
      <c r="C18" s="12">
        <f>COUNTIFS(Matriz!$H$2:$H$105,$A18,Matriz!$L$2:$L$105,"Pendiente")</f>
        <v/>
      </c>
      <c r="D18" s="12">
        <f>COUNTIFS(Matriz!$H$2:$H$105,$A18,Matriz!$L$2:$L$105,"En diseño")</f>
        <v/>
      </c>
      <c r="E18" s="12">
        <f>COUNTIFS(Matriz!$H$2:$H$105,$A18,Matriz!$L$2:$L$105,"En desarrollo")</f>
        <v/>
      </c>
      <c r="F18" s="12">
        <f>COUNTIFS(Matriz!$H$2:$H$105,$A18,Matriz!$L$2:$L$105,"En pruebas")</f>
        <v/>
      </c>
      <c r="G18" s="12">
        <f>COUNTIFS(Matriz!$H$2:$H$105,$A18,Matriz!$L$2:$L$105,"Hecho")</f>
        <v/>
      </c>
      <c r="H18" s="12">
        <f>COUNTIFS(Matriz!$H$2:$H$105,$A18,Matriz!$L$2:$L$105,"Bloqueado")</f>
        <v/>
      </c>
      <c r="I18" s="13">
        <f>IF(B18=0,0,G18/B18)</f>
        <v/>
      </c>
    </row>
    <row r="19">
      <c r="A19" s="11" t="inlineStr">
        <is>
          <t>Posterior</t>
        </is>
      </c>
      <c r="B19" s="12">
        <f>COUNTIF(Matriz!$H$2:$H$105,$A19)</f>
        <v/>
      </c>
      <c r="C19" s="12">
        <f>COUNTIFS(Matriz!$H$2:$H$105,$A19,Matriz!$L$2:$L$105,"Pendiente")</f>
        <v/>
      </c>
      <c r="D19" s="12">
        <f>COUNTIFS(Matriz!$H$2:$H$105,$A19,Matriz!$L$2:$L$105,"En diseño")</f>
        <v/>
      </c>
      <c r="E19" s="12">
        <f>COUNTIFS(Matriz!$H$2:$H$105,$A19,Matriz!$L$2:$L$105,"En desarrollo")</f>
        <v/>
      </c>
      <c r="F19" s="12">
        <f>COUNTIFS(Matriz!$H$2:$H$105,$A19,Matriz!$L$2:$L$105,"En pruebas")</f>
        <v/>
      </c>
      <c r="G19" s="12">
        <f>COUNTIFS(Matriz!$H$2:$H$105,$A19,Matriz!$L$2:$L$105,"Hecho")</f>
        <v/>
      </c>
      <c r="H19" s="12">
        <f>COUNTIFS(Matriz!$H$2:$H$105,$A19,Matriz!$L$2:$L$105,"Bloqueado")</f>
        <v/>
      </c>
      <c r="I19" s="13">
        <f>IF(B19=0,0,G19/B19)</f>
        <v/>
      </c>
    </row>
    <row r="20">
      <c r="A20" s="14" t="inlineStr">
        <is>
          <t>Total</t>
        </is>
      </c>
      <c r="B20" s="15">
        <f>SUM(B16:B19)</f>
        <v/>
      </c>
      <c r="C20" s="15">
        <f>SUM(C16:C19)</f>
        <v/>
      </c>
      <c r="D20" s="15">
        <f>SUM(D16:D19)</f>
        <v/>
      </c>
      <c r="E20" s="15">
        <f>SUM(E16:E19)</f>
        <v/>
      </c>
      <c r="F20" s="15">
        <f>SUM(F16:F19)</f>
        <v/>
      </c>
      <c r="G20" s="15">
        <f>SUM(G16:G19)</f>
        <v/>
      </c>
      <c r="H20" s="15">
        <f>SUM(H16:H19)</f>
        <v/>
      </c>
      <c r="I20" s="16">
        <f>IF(B20=0,0,G20/B20)</f>
        <v/>
      </c>
    </row>
    <row r="23">
      <c r="A23" s="9" t="inlineStr">
        <is>
          <t>Sprint</t>
        </is>
      </c>
      <c r="B23" s="10" t="inlineStr">
        <is>
          <t>Total</t>
        </is>
      </c>
      <c r="C23" s="10" t="inlineStr">
        <is>
          <t>Pendiente</t>
        </is>
      </c>
      <c r="D23" s="10" t="inlineStr">
        <is>
          <t>En diseño</t>
        </is>
      </c>
      <c r="E23" s="10" t="inlineStr">
        <is>
          <t>En desarrollo</t>
        </is>
      </c>
      <c r="F23" s="10" t="inlineStr">
        <is>
          <t>En pruebas</t>
        </is>
      </c>
      <c r="G23" s="10" t="inlineStr">
        <is>
          <t>Hecho</t>
        </is>
      </c>
      <c r="H23" s="10" t="inlineStr">
        <is>
          <t>Bloqueado</t>
        </is>
      </c>
      <c r="I23" s="10" t="inlineStr">
        <is>
          <t>% Hecho</t>
        </is>
      </c>
    </row>
    <row r="24">
      <c r="A24" s="11" t="inlineStr">
        <is>
          <t>Sprint 0</t>
        </is>
      </c>
      <c r="B24" s="12">
        <f>COUNTIF(Matriz!$G$2:$G$105,$A24)</f>
        <v/>
      </c>
      <c r="C24" s="12">
        <f>COUNTIFS(Matriz!$G$2:$G$105,$A24,Matriz!$L$2:$L$105,"Pendiente")</f>
        <v/>
      </c>
      <c r="D24" s="12">
        <f>COUNTIFS(Matriz!$G$2:$G$105,$A24,Matriz!$L$2:$L$105,"En diseño")</f>
        <v/>
      </c>
      <c r="E24" s="12">
        <f>COUNTIFS(Matriz!$G$2:$G$105,$A24,Matriz!$L$2:$L$105,"En desarrollo")</f>
        <v/>
      </c>
      <c r="F24" s="12">
        <f>COUNTIFS(Matriz!$G$2:$G$105,$A24,Matriz!$L$2:$L$105,"En pruebas")</f>
        <v/>
      </c>
      <c r="G24" s="12">
        <f>COUNTIFS(Matriz!$G$2:$G$105,$A24,Matriz!$L$2:$L$105,"Hecho")</f>
        <v/>
      </c>
      <c r="H24" s="12">
        <f>COUNTIFS(Matriz!$G$2:$G$105,$A24,Matriz!$L$2:$L$105,"Bloqueado")</f>
        <v/>
      </c>
      <c r="I24" s="13">
        <f>IF(B24=0,0,G24/B24)</f>
        <v/>
      </c>
    </row>
    <row r="25">
      <c r="A25" s="11" t="inlineStr">
        <is>
          <t>Sprint 1</t>
        </is>
      </c>
      <c r="B25" s="12">
        <f>COUNTIF(Matriz!$G$2:$G$105,$A25)</f>
        <v/>
      </c>
      <c r="C25" s="12">
        <f>COUNTIFS(Matriz!$G$2:$G$105,$A25,Matriz!$L$2:$L$105,"Pendiente")</f>
        <v/>
      </c>
      <c r="D25" s="12">
        <f>COUNTIFS(Matriz!$G$2:$G$105,$A25,Matriz!$L$2:$L$105,"En diseño")</f>
        <v/>
      </c>
      <c r="E25" s="12">
        <f>COUNTIFS(Matriz!$G$2:$G$105,$A25,Matriz!$L$2:$L$105,"En desarrollo")</f>
        <v/>
      </c>
      <c r="F25" s="12">
        <f>COUNTIFS(Matriz!$G$2:$G$105,$A25,Matriz!$L$2:$L$105,"En pruebas")</f>
        <v/>
      </c>
      <c r="G25" s="12">
        <f>COUNTIFS(Matriz!$G$2:$G$105,$A25,Matriz!$L$2:$L$105,"Hecho")</f>
        <v/>
      </c>
      <c r="H25" s="12">
        <f>COUNTIFS(Matriz!$G$2:$G$105,$A25,Matriz!$L$2:$L$105,"Bloqueado")</f>
        <v/>
      </c>
      <c r="I25" s="13">
        <f>IF(B25=0,0,G25/B25)</f>
        <v/>
      </c>
    </row>
    <row r="26">
      <c r="A26" s="11" t="inlineStr">
        <is>
          <t>Sprint 2</t>
        </is>
      </c>
      <c r="B26" s="12">
        <f>COUNTIF(Matriz!$G$2:$G$105,$A26)</f>
        <v/>
      </c>
      <c r="C26" s="12">
        <f>COUNTIFS(Matriz!$G$2:$G$105,$A26,Matriz!$L$2:$L$105,"Pendiente")</f>
        <v/>
      </c>
      <c r="D26" s="12">
        <f>COUNTIFS(Matriz!$G$2:$G$105,$A26,Matriz!$L$2:$L$105,"En diseño")</f>
        <v/>
      </c>
      <c r="E26" s="12">
        <f>COUNTIFS(Matriz!$G$2:$G$105,$A26,Matriz!$L$2:$L$105,"En desarrollo")</f>
        <v/>
      </c>
      <c r="F26" s="12">
        <f>COUNTIFS(Matriz!$G$2:$G$105,$A26,Matriz!$L$2:$L$105,"En pruebas")</f>
        <v/>
      </c>
      <c r="G26" s="12">
        <f>COUNTIFS(Matriz!$G$2:$G$105,$A26,Matriz!$L$2:$L$105,"Hecho")</f>
        <v/>
      </c>
      <c r="H26" s="12">
        <f>COUNTIFS(Matriz!$G$2:$G$105,$A26,Matriz!$L$2:$L$105,"Bloqueado")</f>
        <v/>
      </c>
      <c r="I26" s="13">
        <f>IF(B26=0,0,G26/B26)</f>
        <v/>
      </c>
    </row>
    <row r="27">
      <c r="A27" s="11" t="inlineStr">
        <is>
          <t>Sprint 3</t>
        </is>
      </c>
      <c r="B27" s="12">
        <f>COUNTIF(Matriz!$G$2:$G$105,$A27)</f>
        <v/>
      </c>
      <c r="C27" s="12">
        <f>COUNTIFS(Matriz!$G$2:$G$105,$A27,Matriz!$L$2:$L$105,"Pendiente")</f>
        <v/>
      </c>
      <c r="D27" s="12">
        <f>COUNTIFS(Matriz!$G$2:$G$105,$A27,Matriz!$L$2:$L$105,"En diseño")</f>
        <v/>
      </c>
      <c r="E27" s="12">
        <f>COUNTIFS(Matriz!$G$2:$G$105,$A27,Matriz!$L$2:$L$105,"En desarrollo")</f>
        <v/>
      </c>
      <c r="F27" s="12">
        <f>COUNTIFS(Matriz!$G$2:$G$105,$A27,Matriz!$L$2:$L$105,"En pruebas")</f>
        <v/>
      </c>
      <c r="G27" s="12">
        <f>COUNTIFS(Matriz!$G$2:$G$105,$A27,Matriz!$L$2:$L$105,"Hecho")</f>
        <v/>
      </c>
      <c r="H27" s="12">
        <f>COUNTIFS(Matriz!$G$2:$G$105,$A27,Matriz!$L$2:$L$105,"Bloqueado")</f>
        <v/>
      </c>
      <c r="I27" s="13">
        <f>IF(B27=0,0,G27/B27)</f>
        <v/>
      </c>
    </row>
    <row r="28">
      <c r="A28" s="11" t="inlineStr">
        <is>
          <t>Sprint 4</t>
        </is>
      </c>
      <c r="B28" s="12">
        <f>COUNTIF(Matriz!$G$2:$G$105,$A28)</f>
        <v/>
      </c>
      <c r="C28" s="12">
        <f>COUNTIFS(Matriz!$G$2:$G$105,$A28,Matriz!$L$2:$L$105,"Pendiente")</f>
        <v/>
      </c>
      <c r="D28" s="12">
        <f>COUNTIFS(Matriz!$G$2:$G$105,$A28,Matriz!$L$2:$L$105,"En diseño")</f>
        <v/>
      </c>
      <c r="E28" s="12">
        <f>COUNTIFS(Matriz!$G$2:$G$105,$A28,Matriz!$L$2:$L$105,"En desarrollo")</f>
        <v/>
      </c>
      <c r="F28" s="12">
        <f>COUNTIFS(Matriz!$G$2:$G$105,$A28,Matriz!$L$2:$L$105,"En pruebas")</f>
        <v/>
      </c>
      <c r="G28" s="12">
        <f>COUNTIFS(Matriz!$G$2:$G$105,$A28,Matriz!$L$2:$L$105,"Hecho")</f>
        <v/>
      </c>
      <c r="H28" s="12">
        <f>COUNTIFS(Matriz!$G$2:$G$105,$A28,Matriz!$L$2:$L$105,"Bloqueado")</f>
        <v/>
      </c>
      <c r="I28" s="13">
        <f>IF(B28=0,0,G28/B28)</f>
        <v/>
      </c>
    </row>
    <row r="29">
      <c r="A29" s="11" t="inlineStr">
        <is>
          <t>Sprint 5</t>
        </is>
      </c>
      <c r="B29" s="12">
        <f>COUNTIF(Matriz!$G$2:$G$105,$A29)</f>
        <v/>
      </c>
      <c r="C29" s="12">
        <f>COUNTIFS(Matriz!$G$2:$G$105,$A29,Matriz!$L$2:$L$105,"Pendiente")</f>
        <v/>
      </c>
      <c r="D29" s="12">
        <f>COUNTIFS(Matriz!$G$2:$G$105,$A29,Matriz!$L$2:$L$105,"En diseño")</f>
        <v/>
      </c>
      <c r="E29" s="12">
        <f>COUNTIFS(Matriz!$G$2:$G$105,$A29,Matriz!$L$2:$L$105,"En desarrollo")</f>
        <v/>
      </c>
      <c r="F29" s="12">
        <f>COUNTIFS(Matriz!$G$2:$G$105,$A29,Matriz!$L$2:$L$105,"En pruebas")</f>
        <v/>
      </c>
      <c r="G29" s="12">
        <f>COUNTIFS(Matriz!$G$2:$G$105,$A29,Matriz!$L$2:$L$105,"Hecho")</f>
        <v/>
      </c>
      <c r="H29" s="12">
        <f>COUNTIFS(Matriz!$G$2:$G$105,$A29,Matriz!$L$2:$L$105,"Bloqueado")</f>
        <v/>
      </c>
      <c r="I29" s="13">
        <f>IF(B29=0,0,G29/B29)</f>
        <v/>
      </c>
    </row>
    <row r="30">
      <c r="A30" s="11" t="inlineStr">
        <is>
          <t>—</t>
        </is>
      </c>
      <c r="B30" s="12">
        <f>COUNTIF(Matriz!$G$2:$G$105,$A30)</f>
        <v/>
      </c>
      <c r="C30" s="12">
        <f>COUNTIFS(Matriz!$G$2:$G$105,$A30,Matriz!$L$2:$L$105,"Pendiente")</f>
        <v/>
      </c>
      <c r="D30" s="12">
        <f>COUNTIFS(Matriz!$G$2:$G$105,$A30,Matriz!$L$2:$L$105,"En diseño")</f>
        <v/>
      </c>
      <c r="E30" s="12">
        <f>COUNTIFS(Matriz!$G$2:$G$105,$A30,Matriz!$L$2:$L$105,"En desarrollo")</f>
        <v/>
      </c>
      <c r="F30" s="12">
        <f>COUNTIFS(Matriz!$G$2:$G$105,$A30,Matriz!$L$2:$L$105,"En pruebas")</f>
        <v/>
      </c>
      <c r="G30" s="12">
        <f>COUNTIFS(Matriz!$G$2:$G$105,$A30,Matriz!$L$2:$L$105,"Hecho")</f>
        <v/>
      </c>
      <c r="H30" s="12">
        <f>COUNTIFS(Matriz!$G$2:$G$105,$A30,Matriz!$L$2:$L$105,"Bloqueado")</f>
        <v/>
      </c>
      <c r="I30" s="13">
        <f>IF(B30=0,0,G30/B30)</f>
        <v/>
      </c>
    </row>
    <row r="31">
      <c r="A31" s="14" t="inlineStr">
        <is>
          <t>Total</t>
        </is>
      </c>
      <c r="B31" s="15">
        <f>SUM(B24:B30)</f>
        <v/>
      </c>
      <c r="C31" s="15">
        <f>SUM(C24:C30)</f>
        <v/>
      </c>
      <c r="D31" s="15">
        <f>SUM(D24:D30)</f>
        <v/>
      </c>
      <c r="E31" s="15">
        <f>SUM(E24:E30)</f>
        <v/>
      </c>
      <c r="F31" s="15">
        <f>SUM(F24:F30)</f>
        <v/>
      </c>
      <c r="G31" s="15">
        <f>SUM(G24:G30)</f>
        <v/>
      </c>
      <c r="H31" s="15">
        <f>SUM(H24:H30)</f>
        <v/>
      </c>
      <c r="I31" s="16">
        <f>IF(B31=0,0,G31/B31)</f>
        <v/>
      </c>
    </row>
    <row r="34">
      <c r="A34" s="3" t="inlineStr">
        <is>
          <t>Validación de requerimientos</t>
        </is>
      </c>
      <c r="B34" s="4" t="n"/>
    </row>
    <row r="35">
      <c r="A35" s="11" t="inlineStr">
        <is>
          <t>VoBo pendiente</t>
        </is>
      </c>
      <c r="B35" s="12">
        <f>COUNTIF(Matriz!$K$2:$K$105,A35)</f>
        <v/>
      </c>
    </row>
    <row r="36">
      <c r="A36" s="11" t="inlineStr">
        <is>
          <t>Aprobado</t>
        </is>
      </c>
      <c r="B36" s="12">
        <f>COUNTIF(Matriz!$K$2:$K$105,A36)</f>
        <v/>
      </c>
    </row>
    <row r="37">
      <c r="A37" s="11" t="inlineStr">
        <is>
          <t>Por definir</t>
        </is>
      </c>
      <c r="B37" s="12">
        <f>COUNTIF(Matriz!$K$2:$K$105,A37)</f>
        <v/>
      </c>
    </row>
    <row r="38">
      <c r="A38" s="11" t="inlineStr">
        <is>
          <t>Rechazado</t>
        </is>
      </c>
      <c r="B38" s="12">
        <f>COUNTIF(Matriz!$K$2:$K$105,A38)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62" customWidth="1" min="3" max="3"/>
    <col width="16" customWidth="1" min="4" max="4"/>
    <col width="14" customWidth="1" min="5" max="5"/>
    <col width="11" customWidth="1" min="6" max="6"/>
    <col width="10" customWidth="1" min="7" max="7"/>
    <col width="24" customWidth="1" min="8" max="8"/>
    <col width="50" customWidth="1" min="9" max="9"/>
    <col width="50" customWidth="1" min="10" max="10"/>
    <col width="15" customWidth="1" min="11" max="11"/>
    <col width="14" customWidth="1" min="12" max="12"/>
    <col width="28" customWidth="1" min="13" max="13"/>
    <col width="30" customWidth="1" min="14" max="14"/>
  </cols>
  <sheetData>
    <row r="1" ht="34" customHeight="1">
      <c r="A1" s="17" t="inlineStr">
        <is>
          <t>ID</t>
        </is>
      </c>
      <c r="B1" s="17" t="inlineStr">
        <is>
          <t>Módulo</t>
        </is>
      </c>
      <c r="C1" s="17" t="inlineStr">
        <is>
          <t>Requerimiento</t>
        </is>
      </c>
      <c r="D1" s="17" t="inlineStr">
        <is>
          <t>Origen</t>
        </is>
      </c>
      <c r="E1" s="17" t="inlineStr">
        <is>
          <t>Alcance</t>
        </is>
      </c>
      <c r="F1" s="17" t="inlineStr">
        <is>
          <t>Fase</t>
        </is>
      </c>
      <c r="G1" s="17" t="inlineStr">
        <is>
          <t>Sprint</t>
        </is>
      </c>
      <c r="H1" s="17" t="inlineStr">
        <is>
          <t>Hito</t>
        </is>
      </c>
      <c r="I1" s="17" t="inlineStr">
        <is>
          <t>Historia de usuario (borrador)</t>
        </is>
      </c>
      <c r="J1" s="17" t="inlineStr">
        <is>
          <t>Criterio de aceptación / prueba (borrador)</t>
        </is>
      </c>
      <c r="K1" s="17" t="inlineStr">
        <is>
          <t>Validación</t>
        </is>
      </c>
      <c r="L1" s="17" t="inlineStr">
        <is>
          <t>Estado</t>
        </is>
      </c>
      <c r="M1" s="17" t="inlineStr">
        <is>
          <t>Evidencia</t>
        </is>
      </c>
      <c r="N1" s="17" t="inlineStr">
        <is>
          <t>Notas</t>
        </is>
      </c>
    </row>
    <row r="2">
      <c r="A2" s="18" t="inlineStr">
        <is>
          <t>CFG-01</t>
        </is>
      </c>
      <c r="B2" s="19" t="inlineStr">
        <is>
          <t>Configuración (low-code)</t>
        </is>
      </c>
      <c r="C2" s="19" t="inlineStr">
        <is>
          <t>Diseñador de formularios: crear, editar y deshabilitar campos en peticiones de oración y en los datos del expediente. Versión básica con tipos de campo comunes.</t>
        </is>
      </c>
      <c r="D2" s="19" t="inlineStr">
        <is>
          <t>v3 + Obs. 2</t>
        </is>
      </c>
      <c r="E2" s="19" t="inlineStr">
        <is>
          <t>MVP</t>
        </is>
      </c>
      <c r="F2" s="19" t="inlineStr">
        <is>
          <t>Fase 0</t>
        </is>
      </c>
      <c r="G2" s="19" t="inlineStr">
        <is>
          <t>Sprint 2</t>
        </is>
      </c>
      <c r="H2" s="19" t="inlineStr">
        <is>
          <t>H2 · Fase 0 completa</t>
        </is>
      </c>
      <c r="I2" s="19" t="inlineStr">
        <is>
          <t>Como administrador quiero crear y editar formularios sin programar para adaptar peticiones y datos del expediente.</t>
        </is>
      </c>
      <c r="J2" s="19" t="inlineStr">
        <is>
          <t>Crear un formulario con los tipos de campo básicos, guardarlo, deshabilitar un campo y comprobar que las respuestas previas se conservan.</t>
        </is>
      </c>
      <c r="K2" s="19" t="inlineStr">
        <is>
          <t>VoBo pendiente</t>
        </is>
      </c>
      <c r="L2" s="19" t="inlineStr">
        <is>
          <t>Pendiente</t>
        </is>
      </c>
      <c r="M2" s="19" t="inlineStr"/>
      <c r="N2" s="19" t="inlineStr"/>
    </row>
    <row r="3">
      <c r="A3" s="18" t="inlineStr">
        <is>
          <t>CFG-02</t>
        </is>
      </c>
      <c r="B3" s="19" t="inlineStr">
        <is>
          <t>Configuración (low-code)</t>
        </is>
      </c>
      <c r="C3" s="19" t="inlineStr">
        <is>
          <t>Layouts y pantallas customizables: vistas, secciones visibles y tableros según rol o departamento.</t>
        </is>
      </c>
      <c r="D3" s="19" t="inlineStr">
        <is>
          <t>v2</t>
        </is>
      </c>
      <c r="E3" s="19" t="inlineStr">
        <is>
          <t>Fuera del MVP</t>
        </is>
      </c>
      <c r="F3" s="19" t="inlineStr">
        <is>
          <t>Fase 5</t>
        </is>
      </c>
      <c r="G3" s="19" t="inlineStr">
        <is>
          <t>—</t>
        </is>
      </c>
      <c r="H3" s="19" t="inlineStr">
        <is>
          <t>Posterior</t>
        </is>
      </c>
      <c r="I3" s="20" t="inlineStr">
        <is>
          <t>Se define al iniciar la fase.</t>
        </is>
      </c>
      <c r="J3" s="20" t="inlineStr">
        <is>
          <t>Se define al iniciar la fase.</t>
        </is>
      </c>
      <c r="K3" s="19" t="inlineStr">
        <is>
          <t>VoBo pendiente</t>
        </is>
      </c>
      <c r="L3" s="19" t="inlineStr">
        <is>
          <t>Pendiente</t>
        </is>
      </c>
      <c r="M3" s="19" t="inlineStr"/>
      <c r="N3" s="19" t="inlineStr"/>
    </row>
    <row r="4">
      <c r="A4" s="18" t="inlineStr">
        <is>
          <t>CFG-03</t>
        </is>
      </c>
      <c r="B4" s="19" t="inlineStr">
        <is>
          <t>Configuración (low-code)</t>
        </is>
      </c>
      <c r="C4" s="19" t="inlineStr">
        <is>
          <t>Gestor de flujos y permisos: creación de roles, niveles de acceso y reglas de negocio desde un panel visual.</t>
        </is>
      </c>
      <c r="D4" s="19" t="inlineStr">
        <is>
          <t>v2</t>
        </is>
      </c>
      <c r="E4" s="19" t="inlineStr">
        <is>
          <t>Fuera del MVP</t>
        </is>
      </c>
      <c r="F4" s="19" t="inlineStr">
        <is>
          <t>Fase 5</t>
        </is>
      </c>
      <c r="G4" s="19" t="inlineStr">
        <is>
          <t>—</t>
        </is>
      </c>
      <c r="H4" s="19" t="inlineStr">
        <is>
          <t>Posterior</t>
        </is>
      </c>
      <c r="I4" s="20" t="inlineStr">
        <is>
          <t>Se define al iniciar la fase.</t>
        </is>
      </c>
      <c r="J4" s="20" t="inlineStr">
        <is>
          <t>Se define al iniciar la fase.</t>
        </is>
      </c>
      <c r="K4" s="19" t="inlineStr">
        <is>
          <t>VoBo pendiente</t>
        </is>
      </c>
      <c r="L4" s="19" t="inlineStr">
        <is>
          <t>Pendiente</t>
        </is>
      </c>
      <c r="M4" s="19" t="inlineStr"/>
      <c r="N4" s="19" t="inlineStr"/>
    </row>
    <row r="5">
      <c r="A5" s="18" t="inlineStr">
        <is>
          <t>CFG-04</t>
        </is>
      </c>
      <c r="B5" s="19" t="inlineStr">
        <is>
          <t>Configuración (low-code)</t>
        </is>
      </c>
      <c r="C5" s="19" t="inlineStr">
        <is>
          <t>Plantillas de notificación editables (avisos, recordatorios de reunión, activación de cuenta).</t>
        </is>
      </c>
      <c r="D5" s="19" t="inlineStr">
        <is>
          <t>v3</t>
        </is>
      </c>
      <c r="E5" s="19" t="inlineStr">
        <is>
          <t>MVP básico</t>
        </is>
      </c>
      <c r="F5" s="19" t="inlineStr">
        <is>
          <t>Fase 0</t>
        </is>
      </c>
      <c r="G5" s="19" t="inlineStr">
        <is>
          <t>Sprint 2</t>
        </is>
      </c>
      <c r="H5" s="19" t="inlineStr">
        <is>
          <t>H2 · Fase 0 completa</t>
        </is>
      </c>
      <c r="I5" s="19" t="inlineStr">
        <is>
          <t>Como administrador quiero editar los mensajes automáticos para ajustar el tono sin depender de TI.</t>
        </is>
      </c>
      <c r="J5" s="19" t="inlineStr">
        <is>
          <t>Editar una plantilla y verificar que el siguiente aviso usa el texto nuevo.</t>
        </is>
      </c>
      <c r="K5" s="19" t="inlineStr">
        <is>
          <t>VoBo pendiente</t>
        </is>
      </c>
      <c r="L5" s="19" t="inlineStr">
        <is>
          <t>Pendiente</t>
        </is>
      </c>
      <c r="M5" s="19" t="inlineStr"/>
      <c r="N5" s="19" t="inlineStr"/>
    </row>
    <row r="6">
      <c r="A6" s="18" t="inlineStr">
        <is>
          <t>CFG-05</t>
        </is>
      </c>
      <c r="B6" s="19" t="inlineStr">
        <is>
          <t>Configuración (low-code)</t>
        </is>
      </c>
      <c r="C6" s="19" t="inlineStr">
        <is>
          <t>Configurabilidad incremental: formularios primero; layouts y flujos avanzados después.</t>
        </is>
      </c>
      <c r="D6" s="19" t="inlineStr">
        <is>
          <t>v3</t>
        </is>
      </c>
      <c r="E6" s="19" t="inlineStr">
        <is>
          <t>MVP</t>
        </is>
      </c>
      <c r="F6" s="19" t="inlineStr">
        <is>
          <t>Fase 0</t>
        </is>
      </c>
      <c r="G6" s="19" t="inlineStr">
        <is>
          <t>Sprint 2</t>
        </is>
      </c>
      <c r="H6" s="19" t="inlineStr">
        <is>
          <t>H2 · Fase 0 completa</t>
        </is>
      </c>
      <c r="I6" s="19" t="inlineStr">
        <is>
          <t>Como equipo queremos entregar la configurabilidad por fases para reducir riesgo.</t>
        </is>
      </c>
      <c r="J6" s="19" t="inlineStr">
        <is>
          <t>El diseñador de formularios está disponible en el MVP; layouts y flujos avanzados quedan en el backlog de Fase 5.</t>
        </is>
      </c>
      <c r="K6" s="19" t="inlineStr">
        <is>
          <t>VoBo pendiente</t>
        </is>
      </c>
      <c r="L6" s="19" t="inlineStr">
        <is>
          <t>Pendiente</t>
        </is>
      </c>
      <c r="M6" s="19" t="inlineStr"/>
      <c r="N6" s="19" t="inlineStr"/>
    </row>
    <row r="7">
      <c r="A7" s="18" t="inlineStr">
        <is>
          <t>CFG-06</t>
        </is>
      </c>
      <c r="B7" s="19" t="inlineStr">
        <is>
          <t>Configuración (low-code)</t>
        </is>
      </c>
      <c r="C7" s="19" t="inlineStr">
        <is>
          <t>Modelo híbrido de formularios: tablas fijas para las entidades principales (Persona/EDU, Grupo, Reunión, Ofrenda) con campos personalizados añadidos por el diseñador, y formularios independientes cuyas respuestas se guardan de forma flexible.</t>
        </is>
      </c>
      <c r="D7" s="21" t="inlineStr">
        <is>
          <t>Obs. 2</t>
        </is>
      </c>
      <c r="E7" s="19" t="inlineStr">
        <is>
          <t>MVP</t>
        </is>
      </c>
      <c r="F7" s="19" t="inlineStr">
        <is>
          <t>Fase 0</t>
        </is>
      </c>
      <c r="G7" s="19" t="inlineStr">
        <is>
          <t>Sprint 2</t>
        </is>
      </c>
      <c r="H7" s="19" t="inlineStr">
        <is>
          <t>H2 · Fase 0 completa</t>
        </is>
      </c>
      <c r="I7" s="19" t="inlineStr">
        <is>
          <t>Como administrador quiero agregar campos personalizados a Persona, Grupo y Reunión para registrar lo que la iglesia necesita.</t>
        </is>
      </c>
      <c r="J7" s="19" t="inlineStr">
        <is>
          <t>Agregar un campo (ej. talla) a Persona; aparece en el formulario y se guarda sin alterar la estructura de la base.</t>
        </is>
      </c>
      <c r="K7" s="19" t="inlineStr">
        <is>
          <t>VoBo pendiente</t>
        </is>
      </c>
      <c r="L7" s="19" t="inlineStr">
        <is>
          <t>Pendiente</t>
        </is>
      </c>
      <c r="M7" s="19" t="inlineStr"/>
      <c r="N7" s="19" t="inlineStr"/>
    </row>
    <row r="8">
      <c r="A8" s="18" t="inlineStr">
        <is>
          <t>CFG-07</t>
        </is>
      </c>
      <c r="B8" s="19" t="inlineStr">
        <is>
          <t>Configuración (low-code)</t>
        </is>
      </c>
      <c r="C8" s="19" t="inlineStr">
        <is>
          <t>Campos de tipo «relación» (Persona/EDU, Grupo, Área) que conservan el vínculo por ID, para que reportes y estadísticas crucen formularios.</t>
        </is>
      </c>
      <c r="D8" s="21" t="inlineStr">
        <is>
          <t>Obs. 2</t>
        </is>
      </c>
      <c r="E8" s="19" t="inlineStr">
        <is>
          <t>MVP</t>
        </is>
      </c>
      <c r="F8" s="19" t="inlineStr">
        <is>
          <t>Fase 0</t>
        </is>
      </c>
      <c r="G8" s="19" t="inlineStr">
        <is>
          <t>Sprint 2</t>
        </is>
      </c>
      <c r="H8" s="19" t="inlineStr">
        <is>
          <t>H2 · Fase 0 completa</t>
        </is>
      </c>
      <c r="I8" s="19" t="inlineStr">
        <is>
          <t>Como administrador quiero campos que apunten a una Persona o Grupo para cruzar datos en reportes.</t>
        </is>
      </c>
      <c r="J8" s="19" t="inlineStr">
        <is>
          <t>Un campo de relación guarda el ID de la Persona y el reporte lo cruza con su grupo.</t>
        </is>
      </c>
      <c r="K8" s="19" t="inlineStr">
        <is>
          <t>VoBo pendiente</t>
        </is>
      </c>
      <c r="L8" s="19" t="inlineStr">
        <is>
          <t>Pendiente</t>
        </is>
      </c>
      <c r="M8" s="19" t="inlineStr"/>
      <c r="N8" s="19" t="inlineStr"/>
    </row>
    <row r="9">
      <c r="A9" s="18" t="inlineStr">
        <is>
          <t>CFG-08</t>
        </is>
      </c>
      <c r="B9" s="19" t="inlineStr">
        <is>
          <t>Configuración (low-code)</t>
        </is>
      </c>
      <c r="C9" s="19" t="inlineStr">
        <is>
          <t>Un campo nunca se borra, solo se deshabilita. Cada cambio del formulario genera versión. Los campos «reportables» se marcan para consultas y estadísticas.</t>
        </is>
      </c>
      <c r="D9" s="21" t="inlineStr">
        <is>
          <t>Obs. 2</t>
        </is>
      </c>
      <c r="E9" s="19" t="inlineStr">
        <is>
          <t>MVP</t>
        </is>
      </c>
      <c r="F9" s="19" t="inlineStr">
        <is>
          <t>Fase 0</t>
        </is>
      </c>
      <c r="G9" s="19" t="inlineStr">
        <is>
          <t>Sprint 2</t>
        </is>
      </c>
      <c r="H9" s="19" t="inlineStr">
        <is>
          <t>H2 · Fase 0 completa</t>
        </is>
      </c>
      <c r="I9" s="19" t="inlineStr">
        <is>
          <t>Como administrador quiero versionar los formularios para no perder respuestas antiguas.</t>
        </is>
      </c>
      <c r="J9" s="19" t="inlineStr">
        <is>
          <t>Deshabilitar un campo no borra respuestas; cada cambio crea versión; un campo reportable aparece en reportes.</t>
        </is>
      </c>
      <c r="K9" s="19" t="inlineStr">
        <is>
          <t>VoBo pendiente</t>
        </is>
      </c>
      <c r="L9" s="19" t="inlineStr">
        <is>
          <t>Pendiente</t>
        </is>
      </c>
      <c r="M9" s="19" t="inlineStr"/>
      <c r="N9" s="19" t="inlineStr"/>
    </row>
    <row r="10">
      <c r="A10" s="18" t="inlineStr">
        <is>
          <t>M1-01</t>
        </is>
      </c>
      <c r="B10" s="19" t="inlineStr">
        <is>
          <t>M1 Identidad y comunicación</t>
        </is>
      </c>
      <c r="C10" s="19" t="inlineStr">
        <is>
          <t>Expediente Digital Único (EDU) con los campos de la «Radiografía de miembros GC»: foto; nombre, apellidos, fecha de nacimiento (la edad se calcula); calle y número, colonia, código postal, alcaldía; teléfono fijo y celular; correo; grupo de conexión, líder y sector (texto provisional hasta el módulo de Grupos); tiempo en Mundo de Fe; ministerios en que sirve; devocional personal; Oración de Familias en Acción; otros cursos y observaciones. La foto se guarda en una carpeta del servidor con su ruta en la base de datos y solo se ve con sesión y permisos.</t>
        </is>
      </c>
      <c r="D10" s="19" t="inlineStr">
        <is>
          <t>v3 + Radiografía</t>
        </is>
      </c>
      <c r="E10" s="19" t="inlineStr">
        <is>
          <t>MVP</t>
        </is>
      </c>
      <c r="F10" s="19" t="inlineStr">
        <is>
          <t>Fase 0</t>
        </is>
      </c>
      <c r="G10" s="19" t="inlineStr">
        <is>
          <t>Sprint 1</t>
        </is>
      </c>
      <c r="H10" s="19" t="inlineStr">
        <is>
          <t>H1 · 18-oct (núcleo Fase 0)</t>
        </is>
      </c>
      <c r="I10" s="19" t="inlineStr">
        <is>
          <t>Como pastor quiero un expediente por persona con los datos de la Radiografía de miembros GC para conocer a mi gente.</t>
        </is>
      </c>
      <c r="J10" s="19" t="inlineStr">
        <is>
          <t>Crear un EDU con foto y los campos de la Radiografía, buscarlo sin importar acentos y consultarlo con el rol adecuado; la foto solo se ve con sesión.</t>
        </is>
      </c>
      <c r="K10" s="19" t="inlineStr">
        <is>
          <t>VoBo pendiente</t>
        </is>
      </c>
      <c r="L10" s="19" t="inlineStr">
        <is>
          <t>En pruebas</t>
        </is>
      </c>
      <c r="M10" s="19" t="inlineStr">
        <is>
          <t>Rama feature/m1-01-expediente · 56 pruebas de backend y 6 de frontend pasan</t>
        </is>
      </c>
      <c r="N10" s="19" t="inlineStr">
        <is>
          <t>2026-10-05 · Falta revisar con la iglesia que los campos y el orden de la Radiografía estén completos.</t>
        </is>
      </c>
    </row>
    <row r="11">
      <c r="A11" s="18" t="inlineStr">
        <is>
          <t>M1-02</t>
        </is>
      </c>
      <c r="B11" s="19" t="inlineStr">
        <is>
          <t>M1 Identidad y comunicación</t>
        </is>
      </c>
      <c r="C11" s="19" t="inlineStr">
        <is>
          <t>Los datos que se recaban en el EDU son configurables.</t>
        </is>
      </c>
      <c r="D11" s="19" t="inlineStr">
        <is>
          <t>v3</t>
        </is>
      </c>
      <c r="E11" s="19" t="inlineStr">
        <is>
          <t>MVP</t>
        </is>
      </c>
      <c r="F11" s="19" t="inlineStr">
        <is>
          <t>Fase 0</t>
        </is>
      </c>
      <c r="G11" s="19" t="inlineStr">
        <is>
          <t>Sprint 2</t>
        </is>
      </c>
      <c r="H11" s="19" t="inlineStr">
        <is>
          <t>H2 · Fase 0 completa</t>
        </is>
      </c>
      <c r="I11" s="19" t="inlineStr">
        <is>
          <t>Como administrador quiero definir qué datos se recaban en el expediente.</t>
        </is>
      </c>
      <c r="J11" s="19" t="inlineStr">
        <is>
          <t>Agregar un campo configurable al EDU y verlo en el alta (depende de CFG-06).</t>
        </is>
      </c>
      <c r="K11" s="19" t="inlineStr">
        <is>
          <t>VoBo pendiente</t>
        </is>
      </c>
      <c r="L11" s="19" t="inlineStr">
        <is>
          <t>Pendiente</t>
        </is>
      </c>
      <c r="M11" s="19" t="inlineStr"/>
      <c r="N11" s="19" t="inlineStr"/>
    </row>
    <row r="12">
      <c r="A12" s="18" t="inlineStr">
        <is>
          <t>M1-03</t>
        </is>
      </c>
      <c r="B12" s="19" t="inlineStr">
        <is>
          <t>M1 Identidad y comunicación</t>
        </is>
      </c>
      <c r="C12" s="19" t="inlineStr">
        <is>
          <t>Vínculo familiar y tutor–menor en el expediente, y lista de personas autorizadas a recoger a cada menor (insumo del módulo Kids).</t>
        </is>
      </c>
      <c r="D12" s="21" t="inlineStr">
        <is>
          <t>Nuevo v3</t>
        </is>
      </c>
      <c r="E12" s="19" t="inlineStr">
        <is>
          <t>Fuera del MVP</t>
        </is>
      </c>
      <c r="F12" s="19" t="inlineStr">
        <is>
          <t>Fase 2</t>
        </is>
      </c>
      <c r="G12" s="19" t="inlineStr">
        <is>
          <t>—</t>
        </is>
      </c>
      <c r="H12" s="19" t="inlineStr">
        <is>
          <t>Posterior</t>
        </is>
      </c>
      <c r="I12" s="20" t="inlineStr">
        <is>
          <t>Se define al iniciar la fase.</t>
        </is>
      </c>
      <c r="J12" s="20" t="inlineStr">
        <is>
          <t>Se define al iniciar la fase.</t>
        </is>
      </c>
      <c r="K12" s="19" t="inlineStr">
        <is>
          <t>VoBo pendiente</t>
        </is>
      </c>
      <c r="L12" s="19" t="inlineStr">
        <is>
          <t>Pendiente</t>
        </is>
      </c>
      <c r="M12" s="19" t="inlineStr"/>
      <c r="N12" s="19" t="inlineStr"/>
    </row>
    <row r="13">
      <c r="A13" s="18" t="inlineStr">
        <is>
          <t>M1-04</t>
        </is>
      </c>
      <c r="B13" s="19" t="inlineStr">
        <is>
          <t>M1 Identidad y comunicación</t>
        </is>
      </c>
      <c r="C13" s="19" t="inlineStr">
        <is>
          <t>Registro de bienes: vehículos y motos (placas, marca, modelo, color) u otros bienes personales traídos a la iglesia, asociados al expediente.</t>
        </is>
      </c>
      <c r="D13" s="19" t="inlineStr">
        <is>
          <t>v2</t>
        </is>
      </c>
      <c r="E13" s="19" t="inlineStr">
        <is>
          <t>Fuera del MVP</t>
        </is>
      </c>
      <c r="F13" s="19" t="inlineStr">
        <is>
          <t>Fase 5</t>
        </is>
      </c>
      <c r="G13" s="19" t="inlineStr">
        <is>
          <t>—</t>
        </is>
      </c>
      <c r="H13" s="19" t="inlineStr">
        <is>
          <t>Posterior</t>
        </is>
      </c>
      <c r="I13" s="20" t="inlineStr">
        <is>
          <t>Se define al iniciar la fase.</t>
        </is>
      </c>
      <c r="J13" s="20" t="inlineStr">
        <is>
          <t>Se define al iniciar la fase.</t>
        </is>
      </c>
      <c r="K13" s="19" t="inlineStr">
        <is>
          <t>VoBo pendiente</t>
        </is>
      </c>
      <c r="L13" s="19" t="inlineStr">
        <is>
          <t>Pendiente</t>
        </is>
      </c>
      <c r="M13" s="19" t="inlineStr"/>
      <c r="N13" s="19" t="inlineStr"/>
    </row>
    <row r="14">
      <c r="A14" s="18" t="inlineStr">
        <is>
          <t>M1-05</t>
        </is>
      </c>
      <c r="B14" s="19" t="inlineStr">
        <is>
          <t>M1 Identidad y comunicación</t>
        </is>
      </c>
      <c r="C14" s="19" t="inlineStr">
        <is>
          <t>Alertas rápidas: el personal de seguridad o ushers busca una placa y envía una notificación push prioritaria al propietario (auto mal estacionado, acceso bloqueado, etc.).</t>
        </is>
      </c>
      <c r="D14" s="19" t="inlineStr">
        <is>
          <t>v2</t>
        </is>
      </c>
      <c r="E14" s="19" t="inlineStr">
        <is>
          <t>Fuera del MVP</t>
        </is>
      </c>
      <c r="F14" s="19" t="inlineStr">
        <is>
          <t>Fase 5</t>
        </is>
      </c>
      <c r="G14" s="19" t="inlineStr">
        <is>
          <t>—</t>
        </is>
      </c>
      <c r="H14" s="19" t="inlineStr">
        <is>
          <t>Posterior</t>
        </is>
      </c>
      <c r="I14" s="20" t="inlineStr">
        <is>
          <t>Se define al iniciar la fase.</t>
        </is>
      </c>
      <c r="J14" s="20" t="inlineStr">
        <is>
          <t>Se define al iniciar la fase.</t>
        </is>
      </c>
      <c r="K14" s="19" t="inlineStr">
        <is>
          <t>VoBo pendiente</t>
        </is>
      </c>
      <c r="L14" s="19" t="inlineStr">
        <is>
          <t>Pendiente</t>
        </is>
      </c>
      <c r="M14" s="19" t="inlineStr"/>
      <c r="N14" s="19" t="inlineStr"/>
    </row>
    <row r="15">
      <c r="A15" s="18" t="inlineStr">
        <is>
          <t>M1-06</t>
        </is>
      </c>
      <c r="B15" s="19" t="inlineStr">
        <is>
          <t>M1 Identidad y comunicación</t>
        </is>
      </c>
      <c r="C15" s="19" t="inlineStr">
        <is>
          <t>Canal de respaldo para alertas cuando el propietario no tiene la app instalada o no concedió permisos de notificación (p. ej. WhatsApp o SMS). Por definir canal.</t>
        </is>
      </c>
      <c r="D15" s="21" t="inlineStr">
        <is>
          <t>Nuevo v3</t>
        </is>
      </c>
      <c r="E15" s="19" t="inlineStr">
        <is>
          <t>Fuera del MVP</t>
        </is>
      </c>
      <c r="F15" s="19" t="inlineStr">
        <is>
          <t>Fase 5</t>
        </is>
      </c>
      <c r="G15" s="19" t="inlineStr">
        <is>
          <t>—</t>
        </is>
      </c>
      <c r="H15" s="19" t="inlineStr">
        <is>
          <t>Posterior</t>
        </is>
      </c>
      <c r="I15" s="20" t="inlineStr">
        <is>
          <t>Se define al iniciar la fase.</t>
        </is>
      </c>
      <c r="J15" s="20" t="inlineStr">
        <is>
          <t>Se define al iniciar la fase.</t>
        </is>
      </c>
      <c r="K15" s="19" t="inlineStr">
        <is>
          <t>Por definir</t>
        </is>
      </c>
      <c r="L15" s="19" t="inlineStr">
        <is>
          <t>Pendiente</t>
        </is>
      </c>
      <c r="M15" s="19" t="inlineStr"/>
      <c r="N15" s="19" t="inlineStr"/>
    </row>
    <row r="16">
      <c r="A16" s="18" t="inlineStr">
        <is>
          <t>M1-07</t>
        </is>
      </c>
      <c r="B16" s="19" t="inlineStr">
        <is>
          <t>M1 Identidad y comunicación</t>
        </is>
      </c>
      <c r="C16" s="19" t="inlineStr">
        <is>
          <t>RBAC configurable con la jerarquía: Administrador Técnico, Pastor General, Ancianos (como Pastor, con limitantes en finanzas), Directores/Supervisores, Líderes/Maestros, Servidores, Miembro/Asistente.</t>
        </is>
      </c>
      <c r="D16" s="19" t="inlineStr">
        <is>
          <t>v3 + Resp. P8</t>
        </is>
      </c>
      <c r="E16" s="19" t="inlineStr">
        <is>
          <t>MVP</t>
        </is>
      </c>
      <c r="F16" s="19" t="inlineStr">
        <is>
          <t>Fase 0</t>
        </is>
      </c>
      <c r="G16" s="19" t="inlineStr">
        <is>
          <t>Sprint 1</t>
        </is>
      </c>
      <c r="H16" s="19" t="inlineStr">
        <is>
          <t>H1 · 18-oct (núcleo Fase 0)</t>
        </is>
      </c>
      <c r="I16" s="19" t="inlineStr">
        <is>
          <t>Como administrador quiero asignar roles con la jerarquía acordada para controlar accesos.</t>
        </is>
      </c>
      <c r="J16" s="19" t="inlineStr">
        <is>
          <t>Un Líder no accede a otro grupo; los Ancianos no ven finanzas; el Pastor ve todo.</t>
        </is>
      </c>
      <c r="K16" s="19" t="inlineStr">
        <is>
          <t>VoBo pendiente</t>
        </is>
      </c>
      <c r="L16" s="19" t="inlineStr">
        <is>
          <t>En pruebas</t>
        </is>
      </c>
      <c r="M16" s="19" t="inlineStr">
        <is>
          <t>Rama feature/paso-6-roles-permisos · pruebas de backend y 97 de frontend pasan; lint, estilos y compilación limpios</t>
        </is>
      </c>
      <c r="N16" s="19" t="inlineStr">
        <is>
          <t>2026-10-29 · Roles base más la Secretaria; asignación con jerarquía (nadie otorga un rol más alto que el suyo, solo el Super Usuario asigna Super Usuario); baja y traslado solo por un superior.</t>
        </is>
      </c>
    </row>
    <row r="17">
      <c r="A17" s="18" t="inlineStr">
        <is>
          <t>M1-08</t>
        </is>
      </c>
      <c r="B17" s="19" t="inlineStr">
        <is>
          <t>M1 Identidad y comunicación</t>
        </is>
      </c>
      <c r="C17" s="19" t="inlineStr">
        <is>
          <t>Permisos por área y por grupo. Requiere un catálogo mínimo de áreas (ver M5-01).</t>
        </is>
      </c>
      <c r="D17" s="19" t="inlineStr">
        <is>
          <t>v3</t>
        </is>
      </c>
      <c r="E17" s="19" t="inlineStr">
        <is>
          <t>MVP</t>
        </is>
      </c>
      <c r="F17" s="19" t="inlineStr">
        <is>
          <t>Fase 0</t>
        </is>
      </c>
      <c r="G17" s="19" t="inlineStr">
        <is>
          <t>Sprint 1</t>
        </is>
      </c>
      <c r="H17" s="19" t="inlineStr">
        <is>
          <t>H2 · Fase 0 completa</t>
        </is>
      </c>
      <c r="I17" s="19" t="inlineStr">
        <is>
          <t>Como director quiero permisos por área o grupo para acotar lo que ve cada servidor.</t>
        </is>
      </c>
      <c r="J17" s="19" t="inlineStr">
        <is>
          <t>Un permiso por grupo permite ver solo ese grupo.</t>
        </is>
      </c>
      <c r="K17" s="19" t="inlineStr">
        <is>
          <t>VoBo pendiente</t>
        </is>
      </c>
      <c r="L17" s="19" t="inlineStr">
        <is>
          <t>En pruebas</t>
        </is>
      </c>
      <c r="M17" s="19" t="inlineStr">
        <is>
          <t>Rama feature/m3-grupos · 88 pruebas de backend y 7 de frontend pasan</t>
        </is>
      </c>
      <c r="N17" s="19" t="inlineStr">
        <is>
          <t>2026-10-24 · Alcance por grupo implementado en el módulo Grupos.</t>
        </is>
      </c>
    </row>
    <row r="18">
      <c r="A18" s="18" t="inlineStr">
        <is>
          <t>M1-09</t>
        </is>
      </c>
      <c r="B18" s="19" t="inlineStr">
        <is>
          <t>M1 Identidad y comunicación</t>
        </is>
      </c>
      <c r="C18" s="19" t="inlineStr">
        <is>
          <t>Avisos globales y notificaciones push segmentables por audiencia.</t>
        </is>
      </c>
      <c r="D18" s="19" t="inlineStr">
        <is>
          <t>v3</t>
        </is>
      </c>
      <c r="E18" s="19" t="inlineStr">
        <is>
          <t>MVP</t>
        </is>
      </c>
      <c r="F18" s="19" t="inlineStr">
        <is>
          <t>Fase 0</t>
        </is>
      </c>
      <c r="G18" s="19" t="inlineStr">
        <is>
          <t>Sprint 2</t>
        </is>
      </c>
      <c r="H18" s="19" t="inlineStr">
        <is>
          <t>H2 · Fase 0 completa</t>
        </is>
      </c>
      <c r="I18" s="19" t="inlineStr">
        <is>
          <t>Como pastor quiero enviar avisos segmentados para llegar a la audiencia correcta.</t>
        </is>
      </c>
      <c r="J18" s="19" t="inlineStr">
        <is>
          <t>Enviar un aviso a un grupo y verificar que solo sus integrantes lo reciben.</t>
        </is>
      </c>
      <c r="K18" s="19" t="inlineStr">
        <is>
          <t>VoBo pendiente</t>
        </is>
      </c>
      <c r="L18" s="19" t="inlineStr">
        <is>
          <t>En pruebas</t>
        </is>
      </c>
      <c r="M18" s="19" t="inlineStr">
        <is>
          <t>Rama feature/m1-09-notificaciones · pruebas de backend y 66 de frontend pasan; claves VAPID de QA configuradas</t>
        </is>
      </c>
      <c r="N18" s="19" t="inlineStr">
        <is>
          <t>2026-10-26 · Notificaciones push con sonido y vibración para mensajes del tablero y estudio nuevo, solo a quien puede leerlos; se activan por dispositivo y se pueden apagar en Configuración. Pendiente: probar en Samsung S23 e iPhone reales y los avisos de la iglesia en general (no ligados a un grupo).</t>
        </is>
      </c>
    </row>
    <row r="19">
      <c r="A19" s="18" t="inlineStr">
        <is>
          <t>M1-10</t>
        </is>
      </c>
      <c r="B19" s="19" t="inlineStr">
        <is>
          <t>M1 Identidad y comunicación</t>
        </is>
      </c>
      <c r="C19" s="19" t="inlineStr">
        <is>
          <t>Los avisos no son públicos. El visitante recibe por WhatsApp un enlace a un espacio con rol «Visitante» donde consulta avisos y eventos.</t>
        </is>
      </c>
      <c r="D19" s="19" t="inlineStr">
        <is>
          <t>v3 + Resp. P8</t>
        </is>
      </c>
      <c r="E19" s="19" t="inlineStr">
        <is>
          <t>MVP</t>
        </is>
      </c>
      <c r="F19" s="19" t="inlineStr">
        <is>
          <t>Fase 0</t>
        </is>
      </c>
      <c r="G19" s="19" t="inlineStr">
        <is>
          <t>Sprint 2</t>
        </is>
      </c>
      <c r="H19" s="19" t="inlineStr">
        <is>
          <t>H2 · Fase 0 completa</t>
        </is>
      </c>
      <c r="I19" s="19" t="inlineStr">
        <is>
          <t>Como visitante quiero consultar avisos y eventos desde un enlace sin ser miembro.</t>
        </is>
      </c>
      <c r="J19" s="19" t="inlineStr">
        <is>
          <t>Un Contacto abre el enlace de WhatsApp y ve avisos con rol Visitante, sin acceso a otros datos.</t>
        </is>
      </c>
      <c r="K19" s="19" t="inlineStr">
        <is>
          <t>VoBo pendiente</t>
        </is>
      </c>
      <c r="L19" s="19" t="inlineStr">
        <is>
          <t>En pruebas</t>
        </is>
      </c>
      <c r="M19" s="19" t="inlineStr">
        <is>
          <t>Rama feature/paso-5-invitaciones · pruebas de backend y 93 de frontend pasan; lint, estilos y compilación limpios</t>
        </is>
      </c>
      <c r="N19" s="19" t="inlineStr">
        <is>
          <t>2026-10-27 · Rol por defecto Miembro / Asistente al invitar; invitación por enlace o QR con aprobación del líder (sala de espera) y asignación manual desde la ficha de la persona, con notificaciones.</t>
        </is>
      </c>
    </row>
    <row r="20">
      <c r="A20" s="18" t="inlineStr">
        <is>
          <t>M1-11</t>
        </is>
      </c>
      <c r="B20" s="19" t="inlineStr">
        <is>
          <t>M1 Identidad y comunicación</t>
        </is>
      </c>
      <c r="C20" s="19" t="inlineStr">
        <is>
          <t>Aviso de privacidad y consentimiento al registrar a cualquier persona o activar una cuenta, con consentimiento aparte para la foto. Cada consentimiento guarda la versión del aviso y la fecha. Por ahora el texto es genérico de ejemplo y debe sustituirse por el oficial antes de producción.</t>
        </is>
      </c>
      <c r="D20" s="19" t="inlineStr">
        <is>
          <t>v3</t>
        </is>
      </c>
      <c r="E20" s="19" t="inlineStr">
        <is>
          <t>MVP</t>
        </is>
      </c>
      <c r="F20" s="19" t="inlineStr">
        <is>
          <t>Fase 0</t>
        </is>
      </c>
      <c r="G20" s="19" t="inlineStr">
        <is>
          <t>Sprint 1</t>
        </is>
      </c>
      <c r="H20" s="19" t="inlineStr">
        <is>
          <t>H1 · 18-oct (núcleo Fase 0)</t>
        </is>
      </c>
      <c r="I20" s="19" t="inlineStr">
        <is>
          <t>Como persona registrada quiero conocer y aceptar el aviso de privacidad.</t>
        </is>
      </c>
      <c r="J20" s="19" t="inlineStr">
        <is>
          <t>No se guarda un registro sin consentimiento; queda versión del aviso, fecha y alcance (foto, menores).</t>
        </is>
      </c>
      <c r="K20" s="19" t="inlineStr">
        <is>
          <t>VoBo pendiente</t>
        </is>
      </c>
      <c r="L20" s="19" t="inlineStr">
        <is>
          <t>En pruebas</t>
        </is>
      </c>
      <c r="M20" s="19" t="inlineStr">
        <is>
          <t>Rama feature/m1-01-expediente · 56 pruebas de backend y 6 de frontend pasan</t>
        </is>
      </c>
      <c r="N20" s="19" t="inlineStr">
        <is>
          <t>2026-10-05 · Texto del aviso genérico; sustituir por el oficial antes de producción.</t>
        </is>
      </c>
    </row>
    <row r="21">
      <c r="A21" s="18" t="inlineStr">
        <is>
          <t>M1-12</t>
        </is>
      </c>
      <c r="B21" s="19" t="inlineStr">
        <is>
          <t>M1 Identidad y comunicación</t>
        </is>
      </c>
      <c r="C21" s="19" t="inlineStr">
        <is>
          <t>Tres niveles de registro: Contacto (nombre, WhatsApp, procedencia, consentimiento), Participante y EDU completo. Un Contacto puede ascender a EDU sin duplicarse; el número de WhatsApp sirve para detectar duplicados.</t>
        </is>
      </c>
      <c r="D21" s="21" t="inlineStr">
        <is>
          <t>Obs. 3 y 10</t>
        </is>
      </c>
      <c r="E21" s="19" t="inlineStr">
        <is>
          <t>MVP</t>
        </is>
      </c>
      <c r="F21" s="19" t="inlineStr">
        <is>
          <t>Fase 0</t>
        </is>
      </c>
      <c r="G21" s="19" t="inlineStr">
        <is>
          <t>Sprint 1</t>
        </is>
      </c>
      <c r="H21" s="19" t="inlineStr">
        <is>
          <t>H1 · 18-oct (núcleo Fase 0)</t>
        </is>
      </c>
      <c r="I21" s="19" t="inlineStr">
        <is>
          <t>Como encargado de bienvenida quiero registrar a un visitante con nombre y WhatsApp para darle seguimiento.</t>
        </is>
      </c>
      <c r="J21" s="19" t="inlineStr">
        <is>
          <t>Registrar un Contacto; al ascender a EDU no se duplica; el mismo WhatsApp detecta duplicado.</t>
        </is>
      </c>
      <c r="K21" s="19" t="inlineStr">
        <is>
          <t>VoBo pendiente</t>
        </is>
      </c>
      <c r="L21" s="19" t="inlineStr">
        <is>
          <t>En pruebas</t>
        </is>
      </c>
      <c r="M21" s="19" t="inlineStr">
        <is>
          <t>Rama feature/personas-paso-4 · pruebas de backend y 85 de frontend pasan; lint, estilos y compilación limpios</t>
        </is>
      </c>
      <c r="N21" s="19" t="inlineStr">
        <is>
          <t>2026-10-27 · Niveles contacto → participante → expediente completo, ahora explicados en la ficha; duplicados por WhatsApp.</t>
        </is>
      </c>
    </row>
    <row r="22">
      <c r="A22" s="18" t="inlineStr">
        <is>
          <t>M1-13</t>
        </is>
      </c>
      <c r="B22" s="19" t="inlineStr">
        <is>
          <t>M1 Identidad y comunicación</t>
        </is>
      </c>
      <c r="C22" s="19" t="inlineStr">
        <is>
          <t>Atributo de procedencia: miembro de la iglesia local, invitado de grupo (no asiste a la iglesia), visitante de la iglesia o externo.</t>
        </is>
      </c>
      <c r="D22" s="21" t="inlineStr">
        <is>
          <t>Obs. 3</t>
        </is>
      </c>
      <c r="E22" s="19" t="inlineStr">
        <is>
          <t>MVP</t>
        </is>
      </c>
      <c r="F22" s="19" t="inlineStr">
        <is>
          <t>Fase 0</t>
        </is>
      </c>
      <c r="G22" s="19" t="inlineStr">
        <is>
          <t>Sprint 1</t>
        </is>
      </c>
      <c r="H22" s="19" t="inlineStr">
        <is>
          <t>H1 · 18-oct (núcleo Fase 0)</t>
        </is>
      </c>
      <c r="I22" s="19" t="inlineStr">
        <is>
          <t>Como pastor quiero saber la procedencia de cada persona.</t>
        </is>
      </c>
      <c r="J22" s="19" t="inlineStr">
        <is>
          <t>Valores: miembro, invitado de grupo, visitante y externo; se puede filtrar en listas.</t>
        </is>
      </c>
      <c r="K22" s="19" t="inlineStr">
        <is>
          <t>VoBo pendiente</t>
        </is>
      </c>
      <c r="L22" s="19" t="inlineStr">
        <is>
          <t>En pruebas</t>
        </is>
      </c>
      <c r="M22" s="19" t="inlineStr">
        <is>
          <t>Rama feature/m1-01-expediente · 56 pruebas de backend y 6 de frontend pasan</t>
        </is>
      </c>
      <c r="N22" s="19" t="inlineStr">
        <is>
          <t>2026-10-05 · Procedencia en el alta y en la ficha.</t>
        </is>
      </c>
    </row>
    <row r="23">
      <c r="A23" s="18" t="inlineStr">
        <is>
          <t>M1-14</t>
        </is>
      </c>
      <c r="B23" s="19" t="inlineStr">
        <is>
          <t>M1 Identidad y comunicación</t>
        </is>
      </c>
      <c r="C23" s="19" t="inlineStr">
        <is>
          <t>Bitácora de movimientos del EDU: altas, bajas, cambios de grupo o área, con fecha y motivo. Al dejar la iglesia solo se conservan fecha y motivo.</t>
        </is>
      </c>
      <c r="D23" s="21" t="inlineStr">
        <is>
          <t>Resp. P8</t>
        </is>
      </c>
      <c r="E23" s="19" t="inlineStr">
        <is>
          <t>MVP</t>
        </is>
      </c>
      <c r="F23" s="19" t="inlineStr">
        <is>
          <t>Fase 0</t>
        </is>
      </c>
      <c r="G23" s="19" t="inlineStr">
        <is>
          <t>Sprint 1</t>
        </is>
      </c>
      <c r="H23" s="19" t="inlineStr">
        <is>
          <t>H1 · 18-oct (núcleo Fase 0)</t>
        </is>
      </c>
      <c r="I23" s="19" t="inlineStr">
        <is>
          <t>Como pastor quiero un historial de altas, bajas y cambios con fecha y motivo.</t>
        </is>
      </c>
      <c r="J23" s="19" t="inlineStr">
        <is>
          <t>Una baja conserva solo fecha y motivo; el movimiento aparece en el historial del EDU.</t>
        </is>
      </c>
      <c r="K23" s="19" t="inlineStr">
        <is>
          <t>VoBo pendiente</t>
        </is>
      </c>
      <c r="L23" s="19" t="inlineStr">
        <is>
          <t>En pruebas</t>
        </is>
      </c>
      <c r="M23" s="19" t="inlineStr">
        <is>
          <t>Rama feature/personas-paso-4 · pruebas de backend y 85 de frontend pasan; lint, estilos y compilación limpios</t>
        </is>
      </c>
      <c r="N23" s="19" t="inlineStr">
        <is>
          <t>2026-10-27 · Historial de movimientos con fecha y motivo; ahora incluye traslado a otra iglesia con su destino, y la baja retira a la persona de sus grupos.</t>
        </is>
      </c>
    </row>
    <row r="24">
      <c r="A24" s="18" t="inlineStr">
        <is>
          <t>M1-16</t>
        </is>
      </c>
      <c r="B24" s="19" t="inlineStr">
        <is>
          <t>M1 Identidad y comunicación</t>
        </is>
      </c>
      <c r="C24" s="19" t="inlineStr">
        <is>
          <t>Control de modificaciones: solo roles definidos pueden modificar datos sensibles (ofrendas, asistencias). Toda consulta o modificación queda en bitácora.</t>
        </is>
      </c>
      <c r="D24" s="21" t="inlineStr">
        <is>
          <t>Obs. 5</t>
        </is>
      </c>
      <c r="E24" s="19" t="inlineStr">
        <is>
          <t>MVP</t>
        </is>
      </c>
      <c r="F24" s="19" t="inlineStr">
        <is>
          <t>Fase 0</t>
        </is>
      </c>
      <c r="G24" s="19" t="inlineStr">
        <is>
          <t>Sprint 1</t>
        </is>
      </c>
      <c r="H24" s="19" t="inlineStr">
        <is>
          <t>H1 · 18-oct (núcleo Fase 0)</t>
        </is>
      </c>
      <c r="I24" s="19" t="inlineStr">
        <is>
          <t>Como pastor quiero que solo ciertos roles modifiquen datos sensibles.</t>
        </is>
      </c>
      <c r="J24" s="19" t="inlineStr">
        <is>
          <t>Modificar una asistencia o una ofrenda exige rol autorizado y motivo, y queda en bitácora.</t>
        </is>
      </c>
      <c r="K24" s="19" t="inlineStr">
        <is>
          <t>VoBo pendiente</t>
        </is>
      </c>
      <c r="L24" s="19" t="inlineStr">
        <is>
          <t>En pruebas</t>
        </is>
      </c>
      <c r="M24" s="19" t="inlineStr">
        <is>
          <t>Rama feature/navegacion-dashboard-paso-2 · pruebas de backend y 77 de frontend pasan; lint, estilos y compilación limpios</t>
        </is>
      </c>
      <c r="N24" s="19" t="inlineStr">
        <is>
          <t>2026-10-27 · Bitácora con niveles tipo semáforo, filtros, paginación y gráfica de errores por día. Consultar el resumen también exige el permiso de bitácora.</t>
        </is>
      </c>
    </row>
    <row r="25">
      <c r="A25" s="18" t="inlineStr">
        <is>
          <t>M1-17</t>
        </is>
      </c>
      <c r="B25" s="19" t="inlineStr">
        <is>
          <t>M1 Identidad y comunicación</t>
        </is>
      </c>
      <c r="C25" s="19" t="inlineStr">
        <is>
          <t>Acceso con número de WhatsApp o correo y PIN de 6 dígitos (contraseña de 10+ caracteres para roles sensibles como Pastor, Tesorero y Administrador). La cuenta se activa con un enlace de un solo uso que caduca, enviado desde el WhatsApp de quien invita (sin costo). Recuperación: reinicio por Líder o administrador y enlace por correo si lo tiene. Sin SMS en el MVP.</t>
        </is>
      </c>
      <c r="D25" s="21" t="inlineStr">
        <is>
          <t>Nuevo v3.1 / v3.3</t>
        </is>
      </c>
      <c r="E25" s="19" t="inlineStr">
        <is>
          <t>MVP</t>
        </is>
      </c>
      <c r="F25" s="19" t="inlineStr">
        <is>
          <t>Fase 0</t>
        </is>
      </c>
      <c r="G25" s="19" t="inlineStr">
        <is>
          <t>Sprint 0</t>
        </is>
      </c>
      <c r="H25" s="19" t="inlineStr">
        <is>
          <t>H1 · 18-oct (núcleo Fase 0)</t>
        </is>
      </c>
      <c r="I25" s="19" t="inlineStr">
        <is>
          <t>Como usuario quiero entrar con mi WhatsApp o correo y un PIN sencillo.</t>
        </is>
      </c>
      <c r="J25" s="19" t="inlineStr">
        <is>
          <t>Activar la cuenta con enlace de un solo uso, entrar con PIN de 6 dígitos (contraseña fuerte en roles sensibles), bloqueo tras 5 intentos y recuperación por Líder, administrador o correo.</t>
        </is>
      </c>
      <c r="K25" s="19" t="inlineStr">
        <is>
          <t>VoBo pendiente</t>
        </is>
      </c>
      <c r="L25" s="19" t="inlineStr">
        <is>
          <t>Hecho</t>
        </is>
      </c>
      <c r="M25" s="19" t="inlineStr">
        <is>
          <t>Rama feature/m1-17-acceso · 33 pruebas de backend y 4 de frontend pasan · Flujo invitar, activar y entrar probado por Edgar en navegador de escritorio</t>
        </is>
      </c>
      <c r="N25" s="19" t="inlineStr">
        <is>
          <t>2026-10-05 · Pendiente repetir la prueba en Android/iOS (se cubre con NF-07).</t>
        </is>
      </c>
    </row>
    <row r="26">
      <c r="A26" s="18" t="inlineStr">
        <is>
          <t>M1-18</t>
        </is>
      </c>
      <c r="B26" s="19" t="inlineStr">
        <is>
          <t>M1 Identidad y comunicación</t>
        </is>
      </c>
      <c r="C26" s="19" t="inlineStr">
        <is>
          <t>Contacto de seguimiento a visitantes: un responsable asignado y estado (nuevo, contactado, invitado a consolidación, se integró, no continuó).</t>
        </is>
      </c>
      <c r="D26" s="21" t="inlineStr">
        <is>
          <t>Obs. 10</t>
        </is>
      </c>
      <c r="E26" s="19" t="inlineStr">
        <is>
          <t>MVP mínimo</t>
        </is>
      </c>
      <c r="F26" s="19" t="inlineStr">
        <is>
          <t>Fase 0</t>
        </is>
      </c>
      <c r="G26" s="19" t="inlineStr">
        <is>
          <t>Sprint 2</t>
        </is>
      </c>
      <c r="H26" s="19" t="inlineStr">
        <is>
          <t>H2 · Fase 0 completa</t>
        </is>
      </c>
      <c r="I26" s="19" t="inlineStr">
        <is>
          <t>Como responsable de seguimiento quiero ver a quién contactar y en qué estado va.</t>
        </is>
      </c>
      <c r="J26" s="19" t="inlineStr">
        <is>
          <t>Un Contacto tiene responsable y estado; cada cambio de estado queda registrado.</t>
        </is>
      </c>
      <c r="K26" s="19" t="inlineStr">
        <is>
          <t>VoBo pendiente</t>
        </is>
      </c>
      <c r="L26" s="19" t="inlineStr">
        <is>
          <t>Pendiente</t>
        </is>
      </c>
      <c r="M26" s="19" t="inlineStr"/>
      <c r="N26" s="19" t="inlineStr"/>
    </row>
    <row r="27">
      <c r="A27" s="18" t="inlineStr">
        <is>
          <t>M1-19</t>
        </is>
      </c>
      <c r="B27" s="19" t="inlineStr">
        <is>
          <t>M1 Identidad y comunicación</t>
        </is>
      </c>
      <c r="C27" s="19" t="inlineStr">
        <is>
          <t>Dashboard y tablero de mensajes por módulo como componentes genéricos: el tablero (y las peticiones) se registran por origen y cada módulo decide quién publica y quién lee; los gráficos del dashboard viven en el sistema de diseño. Grupos de Conexión es el primer módulo en usarlos.</t>
        </is>
      </c>
      <c r="D27" s="21" t="inlineStr">
        <is>
          <t>Obs. 7</t>
        </is>
      </c>
      <c r="E27" s="19" t="inlineStr">
        <is>
          <t>MVP</t>
        </is>
      </c>
      <c r="F27" s="19" t="inlineStr">
        <is>
          <t>Fase 0</t>
        </is>
      </c>
      <c r="G27" s="19" t="inlineStr">
        <is>
          <t>Sprint 5</t>
        </is>
      </c>
      <c r="H27" s="19" t="inlineStr">
        <is>
          <t>H3 · MVP (Grupos)</t>
        </is>
      </c>
      <c r="I27" s="19" t="inlineStr">
        <is>
          <t>Como líder o supervisor quiero un dashboard y un tablero de mensajes en mi módulo.</t>
        </is>
      </c>
      <c r="J27" s="19" t="inlineStr">
        <is>
          <t>El módulo Grupos muestra dashboard y tablero con permisos por rol.</t>
        </is>
      </c>
      <c r="K27" s="19" t="inlineStr">
        <is>
          <t>VoBo pendiente</t>
        </is>
      </c>
      <c r="L27" s="19" t="inlineStr">
        <is>
          <t>En pruebas</t>
        </is>
      </c>
      <c r="M27" s="19" t="inlineStr">
        <is>
          <t>Rama feature/navegacion-dashboard-paso-2 · pruebas de backend y 77 de frontend pasan; lint, estilos y compilación limpios</t>
        </is>
      </c>
      <c r="N27" s="19" t="inlineStr">
        <is>
          <t>2026-10-27 · Tablero y gráficas como componentes genéricos; grupos es el primer origen. Barra superior con Cerrar sesión, menú por categorías, Inicio como dashboard con accesos rápidos y resumen de grupos, y color de la aplicación elegible (v3.15).</t>
        </is>
      </c>
    </row>
    <row r="28">
      <c r="A28" s="18" t="inlineStr">
        <is>
          <t>M1-21</t>
        </is>
      </c>
      <c r="B28" s="19" t="inlineStr">
        <is>
          <t>M1 Identidad y comunicación</t>
        </is>
      </c>
      <c r="C28" s="19" t="inlineStr">
        <is>
          <t>Cambio de número: el usuario lo actualiza con su PIN actual, el Líder recibe un aviso y queda en bitácora. Si perdió número y teléfono, el Líder o administrador reinicia su acceso. La identidad estable es un ID interno, no el número. El aviso al Líder se activa cuando exista el módulo de Grupos.</t>
        </is>
      </c>
      <c r="D28" s="21" t="inlineStr">
        <is>
          <t>Nuevo v3.3</t>
        </is>
      </c>
      <c r="E28" s="19" t="inlineStr">
        <is>
          <t>MVP</t>
        </is>
      </c>
      <c r="F28" s="19" t="inlineStr">
        <is>
          <t>Fase 0</t>
        </is>
      </c>
      <c r="G28" s="19" t="inlineStr">
        <is>
          <t>Sprint 1</t>
        </is>
      </c>
      <c r="H28" s="19" t="inlineStr">
        <is>
          <t>H1 · 18-oct (núcleo Fase 0)</t>
        </is>
      </c>
      <c r="I28" s="19" t="inlineStr">
        <is>
          <t>Como persona que cambió de número quiero actualizarlo sin perder mi historial.</t>
        </is>
      </c>
      <c r="J28" s="19" t="inlineStr">
        <is>
          <t>Cambio con el PIN actual, aviso al Líder y registro en bitácora; si perdió número y teléfono, el Líder o administrador reinicia el acceso.</t>
        </is>
      </c>
      <c r="K28" s="19" t="inlineStr">
        <is>
          <t>VoBo pendiente</t>
        </is>
      </c>
      <c r="L28" s="19" t="inlineStr">
        <is>
          <t>En pruebas</t>
        </is>
      </c>
      <c r="M28" s="19" t="inlineStr">
        <is>
          <t>Rama feature/m1-17-acceso · 33 pruebas de backend y 4 de frontend pasan</t>
        </is>
      </c>
      <c r="N28" s="19" t="inlineStr">
        <is>
          <t>2026-10-05 · El aviso al Líder se activa cuando exista Grupos (Sprint 3).</t>
        </is>
      </c>
    </row>
    <row r="29">
      <c r="A29" s="18" t="inlineStr">
        <is>
          <t>M1-22</t>
        </is>
      </c>
      <c r="B29" s="19" t="inlineStr">
        <is>
          <t>M1 Identidad y comunicación</t>
        </is>
      </c>
      <c r="C29" s="19" t="inlineStr">
        <is>
          <t>Bloqueo de cuenta tras 5 intentos fallidos durante 15 minutos (configurable), limitación de intentos por IP y sesión de 90 días renovable con el uso.</t>
        </is>
      </c>
      <c r="D29" s="21" t="inlineStr">
        <is>
          <t>Nuevo v3.3</t>
        </is>
      </c>
      <c r="E29" s="19" t="inlineStr">
        <is>
          <t>MVP</t>
        </is>
      </c>
      <c r="F29" s="19" t="inlineStr">
        <is>
          <t>Fase 0</t>
        </is>
      </c>
      <c r="G29" s="19" t="inlineStr">
        <is>
          <t>Sprint 0</t>
        </is>
      </c>
      <c r="H29" s="19" t="inlineStr">
        <is>
          <t>H1 · 18-oct (núcleo Fase 0)</t>
        </is>
      </c>
      <c r="I29" s="19" t="inlineStr">
        <is>
          <t>Como iglesia queremos proteger las cuentas de intentos de adivinar el PIN.</t>
        </is>
      </c>
      <c r="J29" s="19" t="inlineStr">
        <is>
          <t>Tras 5 intentos fallidos la cuenta se bloquea 15 minutos; sesión de 90 días renovable.</t>
        </is>
      </c>
      <c r="K29" s="19" t="inlineStr">
        <is>
          <t>VoBo pendiente</t>
        </is>
      </c>
      <c r="L29" s="19" t="inlineStr">
        <is>
          <t>En pruebas</t>
        </is>
      </c>
      <c r="M29" s="19" t="inlineStr">
        <is>
          <t>Rama feature/m1-17-acceso · 33 pruebas de backend y 4 de frontend pasan</t>
        </is>
      </c>
      <c r="N29" s="19" t="inlineStr">
        <is>
          <t>2026-10-05 · Límite de intentos por IP: 30 por minuto.</t>
        </is>
      </c>
    </row>
    <row r="30">
      <c r="A30" s="18" t="inlineStr">
        <is>
          <t>M1-23</t>
        </is>
      </c>
      <c r="B30" s="19" t="inlineStr">
        <is>
          <t>M1 Identidad y comunicación</t>
        </is>
      </c>
      <c r="C30" s="19" t="inlineStr">
        <is>
          <t>Procesos de desarrollo discipular: catálogo configurable (14 procesos de la Radiografía: Nacimiento Espiritual, Consolidación, Peniel, Bautismo en el Espíritu Santo, Bautismo en Agua, Sanidad Total, Fundamentos de la Vida Cristiana, Fundamentos Doctrinales, Fundamentos de Liderazgo, Avanzado hacia la Meta, Visión G. de Conexión, Espíritu Santo, Panorama Bíblico y Lanzamiento) y avance por persona con fecha y nombre del maestro.</t>
        </is>
      </c>
      <c r="D30" s="21" t="inlineStr">
        <is>
          <t>Nuevo v3.4</t>
        </is>
      </c>
      <c r="E30" s="19" t="inlineStr">
        <is>
          <t>MVP</t>
        </is>
      </c>
      <c r="F30" s="19" t="inlineStr">
        <is>
          <t>Fase 0</t>
        </is>
      </c>
      <c r="G30" s="19" t="inlineStr">
        <is>
          <t>Sprint 1</t>
        </is>
      </c>
      <c r="H30" s="19" t="inlineStr">
        <is>
          <t>H1 · 18-oct (núcleo Fase 0)</t>
        </is>
      </c>
      <c r="I30" s="19" t="inlineStr">
        <is>
          <t>Como líder quiero registrar los procesos de discipulado que ha cursado cada persona, con fecha y maestro.</t>
        </is>
      </c>
      <c r="J30" s="19" t="inlineStr">
        <is>
          <t>Marcar procesos del catálogo con fecha y maestro, guardarlos y verlos en la ficha; el catálogo es configurable.</t>
        </is>
      </c>
      <c r="K30" s="19" t="inlineStr">
        <is>
          <t>VoBo pendiente</t>
        </is>
      </c>
      <c r="L30" s="19" t="inlineStr">
        <is>
          <t>En pruebas</t>
        </is>
      </c>
      <c r="M30" s="19" t="inlineStr">
        <is>
          <t>Rama feature/m1-01-expediente · 56 pruebas de backend y 6 de frontend pasan</t>
        </is>
      </c>
      <c r="N30" s="19" t="inlineStr">
        <is>
          <t>2026-10-05 · 14 procesos sembrados desde la Radiografía.</t>
        </is>
      </c>
    </row>
    <row r="31">
      <c r="A31" s="18" t="inlineStr">
        <is>
          <t>M1-24</t>
        </is>
      </c>
      <c r="B31" s="19" t="inlineStr">
        <is>
          <t>M1 Identidad y comunicación</t>
        </is>
      </c>
      <c r="C31" s="19" t="inlineStr">
        <is>
          <t>Administrador de roles y permisos: se crean roles y, por módulo, pantalla y acción, se elige lo que cada uno puede hacer. El Super Usuario, el Pastor y la Secretaria lo administran; nadie está por encima del Super Usuario y solo él asigna ese rol. Nadie concede un permiso que no tiene ni crea o cambia un rol de su nivel o superior. Un rol en uso no se desactiva y todo cambio queda en bitácora.</t>
        </is>
      </c>
      <c r="D31" s="21" t="inlineStr">
        <is>
          <t>Respuesta v3.19</t>
        </is>
      </c>
      <c r="E31" s="19" t="inlineStr">
        <is>
          <t>MVP</t>
        </is>
      </c>
      <c r="F31" s="19" t="inlineStr">
        <is>
          <t>Fase 0</t>
        </is>
      </c>
      <c r="G31" s="19" t="inlineStr">
        <is>
          <t>Sprint 5</t>
        </is>
      </c>
      <c r="H31" s="19" t="inlineStr">
        <is>
          <t>H2 · Fase 0 completa</t>
        </is>
      </c>
      <c r="I31" s="19" t="inlineStr">
        <is>
          <t>Como administrador quiero crear roles y elegir, por módulo, pantalla y acción, lo que puede hacer cada uno, para que los permisos no se hagan bolas.</t>
        </is>
      </c>
      <c r="J31" s="19" t="inlineStr">
        <is>
          <t>Crear un rol con permisos, no poder conceder los que no se tienen ni editar un rol de nivel igual o superior, y ver en la bitácora quién cambió qué.</t>
        </is>
      </c>
      <c r="K31" s="19" t="inlineStr">
        <is>
          <t>VoBo pendiente</t>
        </is>
      </c>
      <c r="L31" s="19" t="inlineStr">
        <is>
          <t>En pruebas</t>
        </is>
      </c>
      <c r="M31" s="19" t="inlineStr">
        <is>
          <t>Rama feature/paso-6-roles-permisos · pruebas de backend y 97 de frontend pasan; lint, estilos y compilación limpios</t>
        </is>
      </c>
      <c r="N31" s="19" t="inlineStr">
        <is>
          <t>2026-10-29 · Catálogo de permisos, pantalla de roles con matriz, duplicado y desactivación, rol Secretaria y vista de lo que puede hacer cada persona. Falta: roles de unidad con alcance (siguiente entrega).</t>
        </is>
      </c>
    </row>
    <row r="32">
      <c r="A32" s="18" t="inlineStr">
        <is>
          <t>M1-25</t>
        </is>
      </c>
      <c r="B32" s="19" t="inlineStr">
        <is>
          <t>M1 Identidad y comunicación</t>
        </is>
      </c>
      <c r="C32" s="19" t="inlineStr">
        <is>
          <t>Ministerios: áreas de servicio de la iglesia (cafetería, librería, niños, danza, etc.), cada uno con encargado, respaldo y servidores. Quien participa en un ministerio ve solo ese ministerio, y su rol vale únicamente dentro de él, independiente de sus roles en grupos u otros ministerios. Cada ministerio tiene su propio tablero de avisos y sus peticiones de oración.</t>
        </is>
      </c>
      <c r="D32" s="21" t="inlineStr">
        <is>
          <t>Respuesta v3.21</t>
        </is>
      </c>
      <c r="E32" s="19" t="inlineStr">
        <is>
          <t>MVP</t>
        </is>
      </c>
      <c r="F32" s="19" t="inlineStr">
        <is>
          <t>Fase 0</t>
        </is>
      </c>
      <c r="G32" s="19" t="inlineStr">
        <is>
          <t>Sprint 5</t>
        </is>
      </c>
      <c r="H32" s="19" t="inlineStr">
        <is>
          <t>H2 · Fase 0 completa</t>
        </is>
      </c>
      <c r="I32" s="19" t="inlineStr">
        <is>
          <t>Como encargado de un ministerio quiero administrar a mi gente y mis avisos sin ver lo de otros ministerios ni grupos.</t>
        </is>
      </c>
      <c r="J32" s="19" t="inlineStr">
        <is>
          <t>Un encargado de la cafetería no ve la librería; el mismo encargado como asistente de un grupo no gestiona ese grupo; un servidor no agrega integrantes.</t>
        </is>
      </c>
      <c r="K32" s="19" t="inlineStr">
        <is>
          <t>VoBo pendiente</t>
        </is>
      </c>
      <c r="L32" s="19" t="inlineStr">
        <is>
          <t>En pruebas</t>
        </is>
      </c>
      <c r="M32" s="19" t="inlineStr">
        <is>
          <t>Rama feature/paso-8-ministerios-mi-cuenta · pruebas de backend y 108 de frontend pasan; lint, estilos y compilación limpios</t>
        </is>
      </c>
      <c r="N32" s="19" t="inlineStr">
        <is>
          <t>2026-10-30 · Ministerios (antes unidades) con encargado, respaldo y servidores, alcance propio, tablero de avisos y peticiones de oración.</t>
        </is>
      </c>
    </row>
    <row r="33">
      <c r="A33" s="18" t="inlineStr">
        <is>
          <t>M1-26</t>
        </is>
      </c>
      <c r="B33" s="19" t="inlineStr">
        <is>
          <t>M1 Identidad y comunicación</t>
        </is>
      </c>
      <c r="C33" s="19" t="inlineStr">
        <is>
          <t>Roles de grupos y de ministerios configurables: encargado (líder en un grupo), respaldo y servidores, además de los roles que ya existían. Quien administra roles (Super Usuario, Pastor y Secretaria) crea roles y elige, por acción, lo que puede hacer quien los tiene dentro de un grupo o de un ministerio.</t>
        </is>
      </c>
      <c r="D33" s="21" t="inlineStr">
        <is>
          <t>Respuesta v3.21</t>
        </is>
      </c>
      <c r="E33" s="19" t="inlineStr">
        <is>
          <t>MVP</t>
        </is>
      </c>
      <c r="F33" s="19" t="inlineStr">
        <is>
          <t>Fase 0</t>
        </is>
      </c>
      <c r="G33" s="19" t="inlineStr">
        <is>
          <t>Sprint 5</t>
        </is>
      </c>
      <c r="H33" s="19" t="inlineStr">
        <is>
          <t>H2 · Fase 0 completa</t>
        </is>
      </c>
      <c r="I33" s="19" t="inlineStr">
        <is>
          <t>Como administrador quiero definir qué puede hacer el encargado, el respaldo y los servidores de cada grupo y ministerio, para no depender de reglas fijas.</t>
        </is>
      </c>
      <c r="J33" s="19" t="inlineStr">
        <is>
          <t>Crear un rol de ministerio con permisos; quitarle un permiso al encargado cambia lo que puede hacer; un rol que administra gente solo lo asigna la administración; un rol base no se desactiva.</t>
        </is>
      </c>
      <c r="K33" s="19" t="inlineStr">
        <is>
          <t>VoBo pendiente</t>
        </is>
      </c>
      <c r="L33" s="19" t="inlineStr">
        <is>
          <t>En pruebas</t>
        </is>
      </c>
      <c r="M33" s="19" t="inlineStr">
        <is>
          <t>Rama feature/paso-8-ministerios-mi-cuenta · pruebas de backend y 108 de frontend pasan; lint, estilos y compilación limpios</t>
        </is>
      </c>
      <c r="N33" s="19" t="inlineStr">
        <is>
          <t>2026-10-30 · Roles de ministerio y de grupo configurables desde Roles y permisos; roles base y roles nuevos; las ofrendas y peticiones de grupo siguen con reglas fijas.</t>
        </is>
      </c>
    </row>
    <row r="34">
      <c r="A34" s="18" t="inlineStr">
        <is>
          <t>M1-27</t>
        </is>
      </c>
      <c r="B34" s="19" t="inlineStr">
        <is>
          <t>M1 Identidad y comunicación</t>
        </is>
      </c>
      <c r="C34" s="19" t="inlineStr">
        <is>
          <t>Mi cuenta: la persona corrige sus datos básicos (nombre, fecha de nacimiento, domicilio, teléfono fijo, devocional, oración de familias y foto). No edita nada que afecte su acceso (WhatsApp, correo, PIN) ni sus relaciones con la iglesia (grupo, sector, ministerios, roles, nivel).</t>
        </is>
      </c>
      <c r="D34" s="21" t="inlineStr">
        <is>
          <t>Respuesta v3.21</t>
        </is>
      </c>
      <c r="E34" s="19" t="inlineStr">
        <is>
          <t>MVP</t>
        </is>
      </c>
      <c r="F34" s="19" t="inlineStr">
        <is>
          <t>Fase 0</t>
        </is>
      </c>
      <c r="G34" s="19" t="inlineStr">
        <is>
          <t>Sprint 5</t>
        </is>
      </c>
      <c r="H34" s="19" t="inlineStr">
        <is>
          <t>H2 · Fase 0 completa</t>
        </is>
      </c>
      <c r="I34" s="19" t="inlineStr">
        <is>
          <t>Como persona quiero corregir mis datos básicos desde Mi cuenta sin poder cambiar mi acceso ni mi grupo.</t>
        </is>
      </c>
      <c r="J34" s="19" t="inlineStr">
        <is>
          <t>Corregir nombre y domicilio; intentar cambiar WhatsApp, correo, nivel o grupo no tiene efecto; la foto pide aceptar su uso; la bitácora no guarda los valores.</t>
        </is>
      </c>
      <c r="K34" s="19" t="inlineStr">
        <is>
          <t>VoBo pendiente</t>
        </is>
      </c>
      <c r="L34" s="19" t="inlineStr">
        <is>
          <t>En pruebas</t>
        </is>
      </c>
      <c r="M34" s="19" t="inlineStr">
        <is>
          <t>Rama feature/paso-8-ministerios-mi-cuenta · pruebas de backend y 108 de frontend pasan; lint, estilos y compilación limpios</t>
        </is>
      </c>
      <c r="N34" s="19" t="inlineStr">
        <is>
          <t>2026-10-30 · Mi cuenta editable: datos básicos y foto con consentimiento; sin acceso ni relaciones.</t>
        </is>
      </c>
    </row>
    <row r="35">
      <c r="A35" s="18" t="inlineStr">
        <is>
          <t>M1-28</t>
        </is>
      </c>
      <c r="B35" s="19" t="inlineStr">
        <is>
          <t>M1 Identidad y comunicación</t>
        </is>
      </c>
      <c r="C35" s="19" t="inlineStr">
        <is>
          <t>Peticiones de oración personales: toda persona con sesión puede pedir oración y ve la sección de oración. Ve las suyas; las ve también la dirección que consulta todas las peticiones, y el equipo de oración si las comparte con él.</t>
        </is>
      </c>
      <c r="D35" s="21" t="inlineStr">
        <is>
          <t>Respuesta v3.22</t>
        </is>
      </c>
      <c r="E35" s="19" t="inlineStr">
        <is>
          <t>MVP</t>
        </is>
      </c>
      <c r="F35" s="19" t="inlineStr">
        <is>
          <t>Fase 0</t>
        </is>
      </c>
      <c r="G35" s="19" t="inlineStr">
        <is>
          <t>Sprint 5</t>
        </is>
      </c>
      <c r="H35" s="19" t="inlineStr">
        <is>
          <t>H2 · Fase 0 completa</t>
        </is>
      </c>
      <c r="I35" s="19" t="inlineStr">
        <is>
          <t>Como persona quiero pedir oración desde la aplicación y ver mis peticiones.</t>
        </is>
      </c>
      <c r="J35" s="19" t="inlineStr">
        <is>
          <t>Cualquier cuenta registra una petición personal y la ve; otra cuenta no; el equipo de oración solo lee las compartidas con él.</t>
        </is>
      </c>
      <c r="K35" s="19" t="inlineStr">
        <is>
          <t>VoBo pendiente</t>
        </is>
      </c>
      <c r="L35" s="19" t="inlineStr">
        <is>
          <t>En pruebas</t>
        </is>
      </c>
      <c r="M35" s="19" t="inlineStr">
        <is>
          <t>Rama feature/paso-9-oraciones-vehiculos · pruebas de backend y 110 de frontend pasan; lint, estilos y compilación limpios</t>
        </is>
      </c>
      <c r="N35" s="19" t="inlineStr">
        <is>
          <t>2026-10-30 · Origen de peticiones personales para toda cuenta.</t>
        </is>
      </c>
    </row>
    <row r="36">
      <c r="A36" s="18" t="inlineStr">
        <is>
          <t>M1-29</t>
        </is>
      </c>
      <c r="B36" s="19" t="inlineStr">
        <is>
          <t>M1 Identidad y comunicación</t>
        </is>
      </c>
      <c r="C36" s="19" t="inlineStr">
        <is>
          <t>Bienes ligados (vehículos): cada persona registra, corrige y quita sus vehículos (tipo, marca, modelo, año, color y placas) desde Mi cuenta. Quien consulta expedientes los ve en la ficha, sin poder cambiarlos.</t>
        </is>
      </c>
      <c r="D36" s="21" t="inlineStr">
        <is>
          <t>Respuesta v3.22</t>
        </is>
      </c>
      <c r="E36" s="19" t="inlineStr">
        <is>
          <t>MVP</t>
        </is>
      </c>
      <c r="F36" s="19" t="inlineStr">
        <is>
          <t>Fase 0</t>
        </is>
      </c>
      <c r="G36" s="19" t="inlineStr">
        <is>
          <t>Sprint 5</t>
        </is>
      </c>
      <c r="H36" s="19" t="inlineStr">
        <is>
          <t>H2 · Fase 0 completa</t>
        </is>
      </c>
      <c r="I36" s="19" t="inlineStr">
        <is>
          <t>Como persona quiero registrar mis vehículos para que la iglesia los conozca.</t>
        </is>
      </c>
      <c r="J36" s="19" t="inlineStr">
        <is>
          <t>Agregar, editar y quitar un vehículo propio; no se puede tocar el de otra persona; queda en la bitácora.</t>
        </is>
      </c>
      <c r="K36" s="19" t="inlineStr">
        <is>
          <t>VoBo pendiente</t>
        </is>
      </c>
      <c r="L36" s="19" t="inlineStr">
        <is>
          <t>En pruebas</t>
        </is>
      </c>
      <c r="M36" s="19" t="inlineStr">
        <is>
          <t>Rama feature/paso-9-oraciones-vehiculos · pruebas de backend y 110 de frontend pasan; lint, estilos y compilación limpios</t>
        </is>
      </c>
      <c r="N36" s="19" t="inlineStr">
        <is>
          <t>2026-10-30 · Vehículos propios en Mi cuenta y consulta en la ficha.</t>
        </is>
      </c>
    </row>
    <row r="37">
      <c r="A37" s="18" t="inlineStr">
        <is>
          <t>M2A-01</t>
        </is>
      </c>
      <c r="B37" s="19" t="inlineStr">
        <is>
          <t>M2A Cursos de Vida</t>
        </is>
      </c>
      <c r="C37" s="19" t="inlineStr">
        <is>
          <t>Catálogo dinámico de cursos; se pueden crear nuevos sin intervención técnica. Incluye «Resolución de Varones» y «Toma de Buenas Decisiones», omitidos en v2.</t>
        </is>
      </c>
      <c r="D37" s="22" t="inlineStr">
        <is>
          <t>Recuperado v1</t>
        </is>
      </c>
      <c r="E37" s="19" t="inlineStr">
        <is>
          <t>Fuera del MVP</t>
        </is>
      </c>
      <c r="F37" s="19" t="inlineStr">
        <is>
          <t>Fase 3</t>
        </is>
      </c>
      <c r="G37" s="19" t="inlineStr">
        <is>
          <t>—</t>
        </is>
      </c>
      <c r="H37" s="19" t="inlineStr">
        <is>
          <t>Posterior</t>
        </is>
      </c>
      <c r="I37" s="20" t="inlineStr">
        <is>
          <t>Se define al iniciar la fase.</t>
        </is>
      </c>
      <c r="J37" s="20" t="inlineStr">
        <is>
          <t>Se define al iniciar la fase.</t>
        </is>
      </c>
      <c r="K37" s="19" t="inlineStr">
        <is>
          <t>VoBo pendiente</t>
        </is>
      </c>
      <c r="L37" s="19" t="inlineStr">
        <is>
          <t>Pendiente</t>
        </is>
      </c>
      <c r="M37" s="19" t="inlineStr"/>
      <c r="N37" s="19" t="inlineStr"/>
    </row>
    <row r="38">
      <c r="A38" s="18" t="inlineStr">
        <is>
          <t>M2A-02</t>
        </is>
      </c>
      <c r="B38" s="19" t="inlineStr">
        <is>
          <t>M2A Cursos de Vida</t>
        </is>
      </c>
      <c r="C38" s="19" t="inlineStr">
        <is>
          <t>Flexibilidad operativa: sin día ni horario fijo; el día y el ponente pueden cambiar entre ediciones.</t>
        </is>
      </c>
      <c r="D38" s="19" t="inlineStr">
        <is>
          <t>v1 / v2</t>
        </is>
      </c>
      <c r="E38" s="19" t="inlineStr">
        <is>
          <t>Fuera del MVP</t>
        </is>
      </c>
      <c r="F38" s="19" t="inlineStr">
        <is>
          <t>Fase 3</t>
        </is>
      </c>
      <c r="G38" s="19" t="inlineStr">
        <is>
          <t>—</t>
        </is>
      </c>
      <c r="H38" s="19" t="inlineStr">
        <is>
          <t>Posterior</t>
        </is>
      </c>
      <c r="I38" s="20" t="inlineStr">
        <is>
          <t>Se define al iniciar la fase.</t>
        </is>
      </c>
      <c r="J38" s="20" t="inlineStr">
        <is>
          <t>Se define al iniciar la fase.</t>
        </is>
      </c>
      <c r="K38" s="19" t="inlineStr">
        <is>
          <t>VoBo pendiente</t>
        </is>
      </c>
      <c r="L38" s="19" t="inlineStr">
        <is>
          <t>Pendiente</t>
        </is>
      </c>
      <c r="M38" s="19" t="inlineStr"/>
      <c r="N38" s="19" t="inlineStr"/>
    </row>
    <row r="39">
      <c r="A39" s="18" t="inlineStr">
        <is>
          <t>M2A-03</t>
        </is>
      </c>
      <c r="B39" s="19" t="inlineStr">
        <is>
          <t>M2A Cursos de Vida</t>
        </is>
      </c>
      <c r="C39" s="19" t="inlineStr">
        <is>
          <t>Reposición de clases: el inscrito puede reponer en otro grupo o con otro ponente, a decisión de quien imparte.</t>
        </is>
      </c>
      <c r="D39" s="19" t="inlineStr">
        <is>
          <t>v1 / v2</t>
        </is>
      </c>
      <c r="E39" s="19" t="inlineStr">
        <is>
          <t>Fuera del MVP</t>
        </is>
      </c>
      <c r="F39" s="19" t="inlineStr">
        <is>
          <t>Fase 3</t>
        </is>
      </c>
      <c r="G39" s="19" t="inlineStr">
        <is>
          <t>—</t>
        </is>
      </c>
      <c r="H39" s="19" t="inlineStr">
        <is>
          <t>Posterior</t>
        </is>
      </c>
      <c r="I39" s="20" t="inlineStr">
        <is>
          <t>Se define al iniciar la fase.</t>
        </is>
      </c>
      <c r="J39" s="20" t="inlineStr">
        <is>
          <t>Se define al iniciar la fase.</t>
        </is>
      </c>
      <c r="K39" s="19" t="inlineStr">
        <is>
          <t>VoBo pendiente</t>
        </is>
      </c>
      <c r="L39" s="19" t="inlineStr">
        <is>
          <t>Pendiente</t>
        </is>
      </c>
      <c r="M39" s="19" t="inlineStr"/>
      <c r="N39" s="19" t="inlineStr"/>
    </row>
    <row r="40">
      <c r="A40" s="18" t="inlineStr">
        <is>
          <t>M2A-04</t>
        </is>
      </c>
      <c r="B40" s="19" t="inlineStr">
        <is>
          <t>M2A Cursos de Vida</t>
        </is>
      </c>
      <c r="C40" s="19" t="inlineStr">
        <is>
          <t>Registro de asistencia por sesión.</t>
        </is>
      </c>
      <c r="D40" s="19" t="inlineStr">
        <is>
          <t>v1 / v2</t>
        </is>
      </c>
      <c r="E40" s="19" t="inlineStr">
        <is>
          <t>Fuera del MVP</t>
        </is>
      </c>
      <c r="F40" s="19" t="inlineStr">
        <is>
          <t>Fase 3</t>
        </is>
      </c>
      <c r="G40" s="19" t="inlineStr">
        <is>
          <t>—</t>
        </is>
      </c>
      <c r="H40" s="19" t="inlineStr">
        <is>
          <t>Posterior</t>
        </is>
      </c>
      <c r="I40" s="20" t="inlineStr">
        <is>
          <t>Se define al iniciar la fase.</t>
        </is>
      </c>
      <c r="J40" s="20" t="inlineStr">
        <is>
          <t>Se define al iniciar la fase.</t>
        </is>
      </c>
      <c r="K40" s="19" t="inlineStr">
        <is>
          <t>VoBo pendiente</t>
        </is>
      </c>
      <c r="L40" s="19" t="inlineStr">
        <is>
          <t>Pendiente</t>
        </is>
      </c>
      <c r="M40" s="19" t="inlineStr"/>
      <c r="N40" s="19" t="inlineStr"/>
    </row>
    <row r="41">
      <c r="A41" s="18" t="inlineStr">
        <is>
          <t>M2A-05</t>
        </is>
      </c>
      <c r="B41" s="19" t="inlineStr">
        <is>
          <t>M2A Cursos de Vida</t>
        </is>
      </c>
      <c r="C41" s="19" t="inlineStr">
        <is>
          <t>Seguimiento de tareas o actividades opcionales (no sumativas).</t>
        </is>
      </c>
      <c r="D41" s="19" t="inlineStr">
        <is>
          <t>v1 / v2</t>
        </is>
      </c>
      <c r="E41" s="19" t="inlineStr">
        <is>
          <t>Fuera del MVP</t>
        </is>
      </c>
      <c r="F41" s="19" t="inlineStr">
        <is>
          <t>Fase 3</t>
        </is>
      </c>
      <c r="G41" s="19" t="inlineStr">
        <is>
          <t>—</t>
        </is>
      </c>
      <c r="H41" s="19" t="inlineStr">
        <is>
          <t>Posterior</t>
        </is>
      </c>
      <c r="I41" s="20" t="inlineStr">
        <is>
          <t>Se define al iniciar la fase.</t>
        </is>
      </c>
      <c r="J41" s="20" t="inlineStr">
        <is>
          <t>Se define al iniciar la fase.</t>
        </is>
      </c>
      <c r="K41" s="19" t="inlineStr">
        <is>
          <t>VoBo pendiente</t>
        </is>
      </c>
      <c r="L41" s="19" t="inlineStr">
        <is>
          <t>Pendiente</t>
        </is>
      </c>
      <c r="M41" s="19" t="inlineStr"/>
      <c r="N41" s="19" t="inlineStr"/>
    </row>
    <row r="42">
      <c r="A42" s="18" t="inlineStr">
        <is>
          <t>M2A-06</t>
        </is>
      </c>
      <c r="B42" s="19" t="inlineStr">
        <is>
          <t>M2A Cursos de Vida</t>
        </is>
      </c>
      <c r="C42" s="19" t="inlineStr">
        <is>
          <t>Inscripción: quién se inscribe, cuándo lo hizo, si tiene adeudo y qué incluye el costo (materiales, hospedaje, etc.).</t>
        </is>
      </c>
      <c r="D42" s="19" t="inlineStr">
        <is>
          <t>v1 / v2</t>
        </is>
      </c>
      <c r="E42" s="19" t="inlineStr">
        <is>
          <t>Fuera del MVP</t>
        </is>
      </c>
      <c r="F42" s="19" t="inlineStr">
        <is>
          <t>Fase 3</t>
        </is>
      </c>
      <c r="G42" s="19" t="inlineStr">
        <is>
          <t>—</t>
        </is>
      </c>
      <c r="H42" s="19" t="inlineStr">
        <is>
          <t>Posterior</t>
        </is>
      </c>
      <c r="I42" s="20" t="inlineStr">
        <is>
          <t>Se define al iniciar la fase.</t>
        </is>
      </c>
      <c r="J42" s="20" t="inlineStr">
        <is>
          <t>Se define al iniciar la fase.</t>
        </is>
      </c>
      <c r="K42" s="19" t="inlineStr">
        <is>
          <t>VoBo pendiente</t>
        </is>
      </c>
      <c r="L42" s="19" t="inlineStr">
        <is>
          <t>Pendiente</t>
        </is>
      </c>
      <c r="M42" s="19" t="inlineStr"/>
      <c r="N42" s="19" t="inlineStr"/>
    </row>
    <row r="43">
      <c r="A43" s="18" t="inlineStr">
        <is>
          <t>M2A-07</t>
        </is>
      </c>
      <c r="B43" s="19" t="inlineStr">
        <is>
          <t>M2A Cursos de Vida</t>
        </is>
      </c>
      <c r="C43" s="19" t="inlineStr">
        <is>
          <t>Registro de pagos, saldo de adeudos y recibo. Por definir: captura manual vs. pasarela de pago, y si se requiere corte de caja.</t>
        </is>
      </c>
      <c r="D43" s="21" t="inlineStr">
        <is>
          <t>Nuevo v3</t>
        </is>
      </c>
      <c r="E43" s="19" t="inlineStr">
        <is>
          <t>Fuera del MVP</t>
        </is>
      </c>
      <c r="F43" s="19" t="inlineStr">
        <is>
          <t>Fase 3</t>
        </is>
      </c>
      <c r="G43" s="19" t="inlineStr">
        <is>
          <t>—</t>
        </is>
      </c>
      <c r="H43" s="19" t="inlineStr">
        <is>
          <t>Posterior</t>
        </is>
      </c>
      <c r="I43" s="20" t="inlineStr">
        <is>
          <t>Se define al iniciar la fase.</t>
        </is>
      </c>
      <c r="J43" s="20" t="inlineStr">
        <is>
          <t>Se define al iniciar la fase.</t>
        </is>
      </c>
      <c r="K43" s="19" t="inlineStr">
        <is>
          <t>Por definir</t>
        </is>
      </c>
      <c r="L43" s="19" t="inlineStr">
        <is>
          <t>Pendiente</t>
        </is>
      </c>
      <c r="M43" s="19" t="inlineStr"/>
      <c r="N43" s="19" t="inlineStr"/>
    </row>
    <row r="44">
      <c r="A44" s="18" t="inlineStr">
        <is>
          <t>M2A-08</t>
        </is>
      </c>
      <c r="B44" s="19" t="inlineStr">
        <is>
          <t>M2A Cursos de Vida</t>
        </is>
      </c>
      <c r="C44" s="19" t="inlineStr">
        <is>
          <t>Tablero del curso tipo mensajería para avisos antes del curso y días posteriores, con notificación a los inscritos.</t>
        </is>
      </c>
      <c r="D44" s="22" t="inlineStr">
        <is>
          <t>Recuperado v1</t>
        </is>
      </c>
      <c r="E44" s="19" t="inlineStr">
        <is>
          <t>Fuera del MVP</t>
        </is>
      </c>
      <c r="F44" s="19" t="inlineStr">
        <is>
          <t>Fase 3</t>
        </is>
      </c>
      <c r="G44" s="19" t="inlineStr">
        <is>
          <t>—</t>
        </is>
      </c>
      <c r="H44" s="19" t="inlineStr">
        <is>
          <t>Posterior</t>
        </is>
      </c>
      <c r="I44" s="20" t="inlineStr">
        <is>
          <t>Se define al iniciar la fase.</t>
        </is>
      </c>
      <c r="J44" s="20" t="inlineStr">
        <is>
          <t>Se define al iniciar la fase.</t>
        </is>
      </c>
      <c r="K44" s="19" t="inlineStr">
        <is>
          <t>VoBo pendiente</t>
        </is>
      </c>
      <c r="L44" s="19" t="inlineStr">
        <is>
          <t>Pendiente</t>
        </is>
      </c>
      <c r="M44" s="19" t="inlineStr"/>
      <c r="N44" s="19" t="inlineStr"/>
    </row>
    <row r="45">
      <c r="A45" s="18" t="inlineStr">
        <is>
          <t>M2A-09</t>
        </is>
      </c>
      <c r="B45" s="19" t="inlineStr">
        <is>
          <t>M2A Cursos de Vida</t>
        </is>
      </c>
      <c r="C45" s="19" t="inlineStr">
        <is>
          <t>Evaluación docente configurable: formulario diseñable (tipo Google Forms) aplicado al finalizar el curso.</t>
        </is>
      </c>
      <c r="D45" s="19" t="inlineStr">
        <is>
          <t>v1 / v2</t>
        </is>
      </c>
      <c r="E45" s="19" t="inlineStr">
        <is>
          <t>Fuera del MVP</t>
        </is>
      </c>
      <c r="F45" s="19" t="inlineStr">
        <is>
          <t>Fase 3</t>
        </is>
      </c>
      <c r="G45" s="19" t="inlineStr">
        <is>
          <t>—</t>
        </is>
      </c>
      <c r="H45" s="19" t="inlineStr">
        <is>
          <t>Posterior</t>
        </is>
      </c>
      <c r="I45" s="20" t="inlineStr">
        <is>
          <t>Se define al iniciar la fase.</t>
        </is>
      </c>
      <c r="J45" s="20" t="inlineStr">
        <is>
          <t>Se define al iniciar la fase.</t>
        </is>
      </c>
      <c r="K45" s="19" t="inlineStr">
        <is>
          <t>VoBo pendiente</t>
        </is>
      </c>
      <c r="L45" s="19" t="inlineStr">
        <is>
          <t>Pendiente</t>
        </is>
      </c>
      <c r="M45" s="19" t="inlineStr"/>
      <c r="N45" s="19" t="inlineStr"/>
    </row>
    <row r="46">
      <c r="A46" s="18" t="inlineStr">
        <is>
          <t>M2A-10</t>
        </is>
      </c>
      <c r="B46" s="19" t="inlineStr">
        <is>
          <t>M2A Cursos de Vida</t>
        </is>
      </c>
      <c r="C46" s="19" t="inlineStr">
        <is>
          <t>Evolución del ponente: historial de evaluaciones por ponente a lo largo del tiempo y entre ediciones.</t>
        </is>
      </c>
      <c r="D46" s="22" t="inlineStr">
        <is>
          <t>Recuperado v1</t>
        </is>
      </c>
      <c r="E46" s="19" t="inlineStr">
        <is>
          <t>Fuera del MVP</t>
        </is>
      </c>
      <c r="F46" s="19" t="inlineStr">
        <is>
          <t>Fase 3</t>
        </is>
      </c>
      <c r="G46" s="19" t="inlineStr">
        <is>
          <t>—</t>
        </is>
      </c>
      <c r="H46" s="19" t="inlineStr">
        <is>
          <t>Posterior</t>
        </is>
      </c>
      <c r="I46" s="20" t="inlineStr">
        <is>
          <t>Se define al iniciar la fase.</t>
        </is>
      </c>
      <c r="J46" s="20" t="inlineStr">
        <is>
          <t>Se define al iniciar la fase.</t>
        </is>
      </c>
      <c r="K46" s="19" t="inlineStr">
        <is>
          <t>VoBo pendiente</t>
        </is>
      </c>
      <c r="L46" s="19" t="inlineStr">
        <is>
          <t>Pendiente</t>
        </is>
      </c>
      <c r="M46" s="19" t="inlineStr"/>
      <c r="N46" s="19" t="inlineStr"/>
    </row>
    <row r="47">
      <c r="A47" s="18" t="inlineStr">
        <is>
          <t>M2A-11</t>
        </is>
      </c>
      <c r="B47" s="19" t="inlineStr">
        <is>
          <t>M2A Cursos de Vida</t>
        </is>
      </c>
      <c r="C47" s="19" t="inlineStr">
        <is>
          <t>Reconocimiento de participación (diploma) opcional por curso.</t>
        </is>
      </c>
      <c r="D47" s="19" t="inlineStr">
        <is>
          <t>v1 / v2</t>
        </is>
      </c>
      <c r="E47" s="19" t="inlineStr">
        <is>
          <t>Fuera del MVP</t>
        </is>
      </c>
      <c r="F47" s="19" t="inlineStr">
        <is>
          <t>Fase 3</t>
        </is>
      </c>
      <c r="G47" s="19" t="inlineStr">
        <is>
          <t>—</t>
        </is>
      </c>
      <c r="H47" s="19" t="inlineStr">
        <is>
          <t>Posterior</t>
        </is>
      </c>
      <c r="I47" s="20" t="inlineStr">
        <is>
          <t>Se define al iniciar la fase.</t>
        </is>
      </c>
      <c r="J47" s="20" t="inlineStr">
        <is>
          <t>Se define al iniciar la fase.</t>
        </is>
      </c>
      <c r="K47" s="19" t="inlineStr">
        <is>
          <t>VoBo pendiente</t>
        </is>
      </c>
      <c r="L47" s="19" t="inlineStr">
        <is>
          <t>Pendiente</t>
        </is>
      </c>
      <c r="M47" s="19" t="inlineStr"/>
      <c r="N47" s="19" t="inlineStr"/>
    </row>
    <row r="48">
      <c r="A48" s="18" t="inlineStr">
        <is>
          <t>M2B-01</t>
        </is>
      </c>
      <c r="B48" s="19" t="inlineStr">
        <is>
          <t>M2B Cursos escolarizados</t>
        </is>
      </c>
      <c r="C48" s="19" t="inlineStr">
        <is>
          <t>Control riguroso de asistencia.</t>
        </is>
      </c>
      <c r="D48" s="19" t="inlineStr">
        <is>
          <t>v1 / v2</t>
        </is>
      </c>
      <c r="E48" s="19" t="inlineStr">
        <is>
          <t>Fuera del MVP</t>
        </is>
      </c>
      <c r="F48" s="19" t="inlineStr">
        <is>
          <t>Fase 3</t>
        </is>
      </c>
      <c r="G48" s="19" t="inlineStr">
        <is>
          <t>—</t>
        </is>
      </c>
      <c r="H48" s="19" t="inlineStr">
        <is>
          <t>Posterior</t>
        </is>
      </c>
      <c r="I48" s="20" t="inlineStr">
        <is>
          <t>Se define al iniciar la fase.</t>
        </is>
      </c>
      <c r="J48" s="20" t="inlineStr">
        <is>
          <t>Se define al iniciar la fase.</t>
        </is>
      </c>
      <c r="K48" s="19" t="inlineStr">
        <is>
          <t>VoBo pendiente</t>
        </is>
      </c>
      <c r="L48" s="19" t="inlineStr">
        <is>
          <t>Pendiente</t>
        </is>
      </c>
      <c r="M48" s="19" t="inlineStr"/>
      <c r="N48" s="19" t="inlineStr"/>
    </row>
    <row r="49">
      <c r="A49" s="18" t="inlineStr">
        <is>
          <t>M2B-02</t>
        </is>
      </c>
      <c r="B49" s="19" t="inlineStr">
        <is>
          <t>M2B Cursos escolarizados</t>
        </is>
      </c>
      <c r="C49" s="19" t="inlineStr">
        <is>
          <t>Entrega de tareas y trabajos continuos (incluidos trabajos extra).</t>
        </is>
      </c>
      <c r="D49" s="19" t="inlineStr">
        <is>
          <t>v1 / v2</t>
        </is>
      </c>
      <c r="E49" s="19" t="inlineStr">
        <is>
          <t>Fuera del MVP</t>
        </is>
      </c>
      <c r="F49" s="19" t="inlineStr">
        <is>
          <t>Fase 3</t>
        </is>
      </c>
      <c r="G49" s="19" t="inlineStr">
        <is>
          <t>—</t>
        </is>
      </c>
      <c r="H49" s="19" t="inlineStr">
        <is>
          <t>Posterior</t>
        </is>
      </c>
      <c r="I49" s="20" t="inlineStr">
        <is>
          <t>Se define al iniciar la fase.</t>
        </is>
      </c>
      <c r="J49" s="20" t="inlineStr">
        <is>
          <t>Se define al iniciar la fase.</t>
        </is>
      </c>
      <c r="K49" s="19" t="inlineStr">
        <is>
          <t>VoBo pendiente</t>
        </is>
      </c>
      <c r="L49" s="19" t="inlineStr">
        <is>
          <t>Pendiente</t>
        </is>
      </c>
      <c r="M49" s="19" t="inlineStr"/>
      <c r="N49" s="19" t="inlineStr"/>
    </row>
    <row r="50">
      <c r="A50" s="18" t="inlineStr">
        <is>
          <t>M2B-03</t>
        </is>
      </c>
      <c r="B50" s="19" t="inlineStr">
        <is>
          <t>M2B Cursos escolarizados</t>
        </is>
      </c>
      <c r="C50" s="19" t="inlineStr">
        <is>
          <t>Ponderación de calificaciones y exámenes finales.</t>
        </is>
      </c>
      <c r="D50" s="19" t="inlineStr">
        <is>
          <t>v1 / v2</t>
        </is>
      </c>
      <c r="E50" s="19" t="inlineStr">
        <is>
          <t>Fuera del MVP</t>
        </is>
      </c>
      <c r="F50" s="19" t="inlineStr">
        <is>
          <t>Fase 3</t>
        </is>
      </c>
      <c r="G50" s="19" t="inlineStr">
        <is>
          <t>—</t>
        </is>
      </c>
      <c r="H50" s="19" t="inlineStr">
        <is>
          <t>Posterior</t>
        </is>
      </c>
      <c r="I50" s="20" t="inlineStr">
        <is>
          <t>Se define al iniciar la fase.</t>
        </is>
      </c>
      <c r="J50" s="20" t="inlineStr">
        <is>
          <t>Se define al iniciar la fase.</t>
        </is>
      </c>
      <c r="K50" s="19" t="inlineStr">
        <is>
          <t>VoBo pendiente</t>
        </is>
      </c>
      <c r="L50" s="19" t="inlineStr">
        <is>
          <t>Pendiente</t>
        </is>
      </c>
      <c r="M50" s="19" t="inlineStr"/>
      <c r="N50" s="19" t="inlineStr"/>
    </row>
    <row r="51">
      <c r="A51" s="18" t="inlineStr">
        <is>
          <t>M2B-04</t>
        </is>
      </c>
      <c r="B51" s="19" t="inlineStr">
        <is>
          <t>M2B Cursos escolarizados</t>
        </is>
      </c>
      <c r="C51" s="19" t="inlineStr">
        <is>
          <t>Creador de exámenes en línea: opción múltiple, preguntas abiertas, falso/verdadero y respuesta corta.</t>
        </is>
      </c>
      <c r="D51" s="19" t="inlineStr">
        <is>
          <t>v2</t>
        </is>
      </c>
      <c r="E51" s="19" t="inlineStr">
        <is>
          <t>Fuera del MVP</t>
        </is>
      </c>
      <c r="F51" s="19" t="inlineStr">
        <is>
          <t>Fase 3</t>
        </is>
      </c>
      <c r="G51" s="19" t="inlineStr">
        <is>
          <t>—</t>
        </is>
      </c>
      <c r="H51" s="19" t="inlineStr">
        <is>
          <t>Posterior</t>
        </is>
      </c>
      <c r="I51" s="20" t="inlineStr">
        <is>
          <t>Se define al iniciar la fase.</t>
        </is>
      </c>
      <c r="J51" s="20" t="inlineStr">
        <is>
          <t>Se define al iniciar la fase.</t>
        </is>
      </c>
      <c r="K51" s="19" t="inlineStr">
        <is>
          <t>VoBo pendiente</t>
        </is>
      </c>
      <c r="L51" s="19" t="inlineStr">
        <is>
          <t>Pendiente</t>
        </is>
      </c>
      <c r="M51" s="19" t="inlineStr"/>
      <c r="N51" s="19" t="inlineStr"/>
    </row>
    <row r="52">
      <c r="A52" s="18" t="inlineStr">
        <is>
          <t>M2B-05</t>
        </is>
      </c>
      <c r="B52" s="19" t="inlineStr">
        <is>
          <t>M2B Cursos escolarizados</t>
        </is>
      </c>
      <c r="C52" s="19" t="inlineStr">
        <is>
          <t>Boleta digital con el formato definido por la iglesia. Por definir: formato oficial de la boleta.</t>
        </is>
      </c>
      <c r="D52" s="19" t="inlineStr">
        <is>
          <t>v1 / v2</t>
        </is>
      </c>
      <c r="E52" s="19" t="inlineStr">
        <is>
          <t>Fuera del MVP</t>
        </is>
      </c>
      <c r="F52" s="19" t="inlineStr">
        <is>
          <t>Fase 3</t>
        </is>
      </c>
      <c r="G52" s="19" t="inlineStr">
        <is>
          <t>—</t>
        </is>
      </c>
      <c r="H52" s="19" t="inlineStr">
        <is>
          <t>Posterior</t>
        </is>
      </c>
      <c r="I52" s="20" t="inlineStr">
        <is>
          <t>Se define al iniciar la fase.</t>
        </is>
      </c>
      <c r="J52" s="20" t="inlineStr">
        <is>
          <t>Se define al iniciar la fase.</t>
        </is>
      </c>
      <c r="K52" s="19" t="inlineStr">
        <is>
          <t>Por definir</t>
        </is>
      </c>
      <c r="L52" s="19" t="inlineStr">
        <is>
          <t>Pendiente</t>
        </is>
      </c>
      <c r="M52" s="19" t="inlineStr"/>
      <c r="N52" s="19" t="inlineStr"/>
    </row>
    <row r="53">
      <c r="A53" s="18" t="inlineStr">
        <is>
          <t>M2B-06</t>
        </is>
      </c>
      <c r="B53" s="19" t="inlineStr">
        <is>
          <t>M2B Cursos escolarizados</t>
        </is>
      </c>
      <c r="C53" s="19" t="inlineStr">
        <is>
          <t>Historial académico permanente en el Expediente Digital, aunque cambie el maestro o el alumno pierda su comprobante.</t>
        </is>
      </c>
      <c r="D53" s="19" t="inlineStr">
        <is>
          <t>v2</t>
        </is>
      </c>
      <c r="E53" s="19" t="inlineStr">
        <is>
          <t>Fuera del MVP</t>
        </is>
      </c>
      <c r="F53" s="19" t="inlineStr">
        <is>
          <t>Fase 3</t>
        </is>
      </c>
      <c r="G53" s="19" t="inlineStr">
        <is>
          <t>—</t>
        </is>
      </c>
      <c r="H53" s="19" t="inlineStr">
        <is>
          <t>Posterior</t>
        </is>
      </c>
      <c r="I53" s="20" t="inlineStr">
        <is>
          <t>Se define al iniciar la fase.</t>
        </is>
      </c>
      <c r="J53" s="20" t="inlineStr">
        <is>
          <t>Se define al iniciar la fase.</t>
        </is>
      </c>
      <c r="K53" s="19" t="inlineStr">
        <is>
          <t>VoBo pendiente</t>
        </is>
      </c>
      <c r="L53" s="19" t="inlineStr">
        <is>
          <t>Pendiente</t>
        </is>
      </c>
      <c r="M53" s="19" t="inlineStr"/>
      <c r="N53" s="19" t="inlineStr"/>
    </row>
    <row r="54">
      <c r="A54" s="18" t="inlineStr">
        <is>
          <t>M3-01</t>
        </is>
      </c>
      <c r="B54" s="19" t="inlineStr">
        <is>
          <t>M3 Grupos de Conexión</t>
        </is>
      </c>
      <c r="C54" s="19" t="inlineStr">
        <is>
          <t>Estructura del grupo con roles: Supervisor (supervisa uno o varios grupos y reporta al Pastor), Líder, Secretario, Anfitrión y Tesorero.</t>
        </is>
      </c>
      <c r="D54" s="19" t="inlineStr">
        <is>
          <t>v3 + Obs. 4</t>
        </is>
      </c>
      <c r="E54" s="19" t="inlineStr">
        <is>
          <t>MVP</t>
        </is>
      </c>
      <c r="F54" s="19" t="inlineStr">
        <is>
          <t>Fase 1</t>
        </is>
      </c>
      <c r="G54" s="19" t="inlineStr">
        <is>
          <t>Sprint 3</t>
        </is>
      </c>
      <c r="H54" s="19" t="inlineStr">
        <is>
          <t>H3 · MVP (Grupos)</t>
        </is>
      </c>
      <c r="I54" s="19" t="inlineStr">
        <is>
          <t>Como supervisor quiero asignar Líder, Secretario, Anfitrión y Tesorero a cada grupo.</t>
        </is>
      </c>
      <c r="J54" s="19" t="inlineStr">
        <is>
          <t>Un grupo tiene sus roles asignados; un supervisor ve varios grupos.</t>
        </is>
      </c>
      <c r="K54" s="19" t="inlineStr">
        <is>
          <t>VoBo pendiente</t>
        </is>
      </c>
      <c r="L54" s="19" t="inlineStr">
        <is>
          <t>En pruebas</t>
        </is>
      </c>
      <c r="M54" s="19" t="inlineStr">
        <is>
          <t>Rama feature/grupos-paso-3 · pruebas de backend y 81 de frontend pasan; lint, estilos y compilación limpios</t>
        </is>
      </c>
      <c r="N54" s="19" t="inlineStr">
        <is>
          <t>2026-10-27 · Supervisor, Líder, Secretario, Anfitrión, Tesorero y Asistente por grupo; ahora con cambio de rol, sector (letra), casa (número) y suspensión con motivo.</t>
        </is>
      </c>
    </row>
    <row r="55">
      <c r="A55" s="18" t="inlineStr">
        <is>
          <t>M3-02</t>
        </is>
      </c>
      <c r="B55" s="19" t="inlineStr">
        <is>
          <t>M3 Grupos de Conexión</t>
        </is>
      </c>
      <c r="C55" s="19" t="inlineStr">
        <is>
          <t>Estudio semanal dentro de la app: un registro por semana con PDF para adultos, PDF para niños y audio de la lectura (PDF hasta 15 MB; audio hasta 40 MB). Lo publican Pastor o Anciano y los líderes lo abren desde la reunión, sustituyendo el envío por WhatsApp. El audio admite adelantar y retroceder en iPhone.</t>
        </is>
      </c>
      <c r="D55" s="19" t="inlineStr">
        <is>
          <t>v1 / v2 + Respuesta</t>
        </is>
      </c>
      <c r="E55" s="19" t="inlineStr">
        <is>
          <t>MVP</t>
        </is>
      </c>
      <c r="F55" s="19" t="inlineStr">
        <is>
          <t>Fase 1</t>
        </is>
      </c>
      <c r="G55" s="19" t="inlineStr">
        <is>
          <t>Sprint 3</t>
        </is>
      </c>
      <c r="H55" s="19" t="inlineStr">
        <is>
          <t>H3 · MVP (Grupos)</t>
        </is>
      </c>
      <c r="I55" s="19" t="inlineStr">
        <is>
          <t>Como líder quiero recibir el estudio semanal en la app en lugar de WhatsApp.</t>
        </is>
      </c>
      <c r="J55" s="19" t="inlineStr">
        <is>
          <t>Publicar el material de la semana; el líder lo abre y queda marca de lectura.</t>
        </is>
      </c>
      <c r="K55" s="19" t="inlineStr">
        <is>
          <t>VoBo pendiente</t>
        </is>
      </c>
      <c r="L55" s="19" t="inlineStr">
        <is>
          <t>En pruebas</t>
        </is>
      </c>
      <c r="M55" s="19" t="inlineStr">
        <is>
          <t>Rama feature/m3-grupos · 88 pruebas de backend y 7 de frontend pasan</t>
        </is>
      </c>
      <c r="N55" s="19" t="inlineStr">
        <is>
          <t>2026-10-24 · PDF adultos, PDF niños y audio por semana; audio con Range para iPhone. Pendiente probar en iOS.</t>
        </is>
      </c>
    </row>
    <row r="56">
      <c r="A56" s="18" t="inlineStr">
        <is>
          <t>M3-03</t>
        </is>
      </c>
      <c r="B56" s="19" t="inlineStr">
        <is>
          <t>M3 Grupos de Conexión</t>
        </is>
      </c>
      <c r="C56" s="19" t="inlineStr">
        <is>
          <t>Pase de lista digital por Secretario o Líder. El Secretario captura y corrige el mismo día; el Líder modifica siempre; el Supervisor solo consulta. Funciona sin conexión: la lista se guarda en el teléfono con la hora real de captura y se envía sola al volver la señal, sin pisar cambios más recientes hechos en línea. Una captura sin conexión se acepta hasta 7 días después y se evalúa contra el día en que se hizo; todo queda en bitácora marcado como diferido.</t>
        </is>
      </c>
      <c r="D56" s="19" t="inlineStr">
        <is>
          <t>v3</t>
        </is>
      </c>
      <c r="E56" s="19" t="inlineStr">
        <is>
          <t>MVP</t>
        </is>
      </c>
      <c r="F56" s="19" t="inlineStr">
        <is>
          <t>Fase 1</t>
        </is>
      </c>
      <c r="G56" s="19" t="inlineStr">
        <is>
          <t>Sprint 3</t>
        </is>
      </c>
      <c r="H56" s="19" t="inlineStr">
        <is>
          <t>H3 · MVP (Grupos)</t>
        </is>
      </c>
      <c r="I56" s="19" t="inlineStr">
        <is>
          <t>Como secretario quiero pasar lista aunque no haya señal.</t>
        </is>
      </c>
      <c r="J56" s="19" t="inlineStr">
        <is>
          <t>Pasar lista en modo avión; al reconectar se sincroniza sin duplicados.</t>
        </is>
      </c>
      <c r="K56" s="19" t="inlineStr">
        <is>
          <t>VoBo pendiente</t>
        </is>
      </c>
      <c r="L56" s="19" t="inlineStr">
        <is>
          <t>En pruebas</t>
        </is>
      </c>
      <c r="M56" s="19" t="inlineStr">
        <is>
          <t>Rama feature/nf-06-sin-conexion · 117 pruebas de backend y 27 de frontend; probado en Chrome real con service worker</t>
        </is>
      </c>
      <c r="N56" s="19" t="inlineStr">
        <is>
          <t>2026-10-24 · Pase de lista con y sin conexión.</t>
        </is>
      </c>
    </row>
    <row r="57">
      <c r="A57" s="18" t="inlineStr">
        <is>
          <t>M3-04</t>
        </is>
      </c>
      <c r="B57" s="19" t="inlineStr">
        <is>
          <t>M3 Grupos de Conexión</t>
        </is>
      </c>
      <c r="C57" s="19" t="inlineStr">
        <is>
          <t>Ofrendas regulares y especiales (con concepto) por reunión, cuantificables. El Secretario captura el monto; si el grupo no tiene Secretario, lo suple el Líder. El Tesorero cuenta, escribe su cifra y avala volviendo a escribir su PIN; si el grupo no tiene Tesorero, avalan el Líder o el Pastor, nunca quien capturó. Si la cifra coincide queda «Avalada»; si no, se registra la diferencia y queda «Con diferencia», con aviso visible en el grupo, la reunión y la pantalla del Tesorero para quien pueda consultar. Una ofrenda ya capturada solo se corrige con motivo y vuelve a pendiente para un nuevo aval. El Pastor consulta todo, el Líder y el Supervisor consultan y el Anciano no ve finanzas. Toda suplencia, captura, aval y corrección queda en bitácora.</t>
        </is>
      </c>
      <c r="D57" s="19" t="inlineStr">
        <is>
          <t>v3 + Obs. 4</t>
        </is>
      </c>
      <c r="E57" s="19" t="inlineStr">
        <is>
          <t>MVP</t>
        </is>
      </c>
      <c r="F57" s="19" t="inlineStr">
        <is>
          <t>Fase 1</t>
        </is>
      </c>
      <c r="G57" s="19" t="inlineStr">
        <is>
          <t>Sprint 4</t>
        </is>
      </c>
      <c r="H57" s="19" t="inlineStr">
        <is>
          <t>H3 · MVP (Grupos)</t>
        </is>
      </c>
      <c r="I57" s="19" t="inlineStr">
        <is>
          <t>Como tesorero quiero contar y avalar la ofrenda del grupo.</t>
        </is>
      </c>
      <c r="J57" s="19" t="inlineStr">
        <is>
          <t>Capturar monto; el Tesorero captura su cifra y confirma con su PIN; si difiere se registra la diferencia; con aval no se edita sin motivo.</t>
        </is>
      </c>
      <c r="K57" s="19" t="inlineStr">
        <is>
          <t>VoBo pendiente</t>
        </is>
      </c>
      <c r="L57" s="19" t="inlineStr">
        <is>
          <t>En pruebas</t>
        </is>
      </c>
      <c r="M57" s="19" t="inlineStr">
        <is>
          <t>Rama feature/m3-ofrendas-ajustes · 121 pruebas de backend y 14 de frontend pasan</t>
        </is>
      </c>
      <c r="N57" s="19" t="inlineStr">
        <is>
          <t>2026-10-24 · Con suplencias del Líder, diferencias visibles y límites configurables. Falta validar con la iglesia.</t>
        </is>
      </c>
    </row>
    <row r="58">
      <c r="A58" s="18" t="inlineStr">
        <is>
          <t>M3-05</t>
        </is>
      </c>
      <c r="B58" s="19" t="inlineStr">
        <is>
          <t>M3 Grupos de Conexión</t>
        </is>
      </c>
      <c r="C58" s="19" t="inlineStr">
        <is>
          <t>Peticiones de oración con formulario configurable (campos que se agregan, desactivan y reordenan sin programar; cada cambio crea una versión y los campos no se borran). Por defecto: petición, quién la pide y categoría. Las registran el Líder y el Secretario, desde la reunión o desde el grupo; el Pastor también.</t>
        </is>
      </c>
      <c r="D58" s="19" t="inlineStr">
        <is>
          <t>v3</t>
        </is>
      </c>
      <c r="E58" s="19" t="inlineStr">
        <is>
          <t>MVP</t>
        </is>
      </c>
      <c r="F58" s="19" t="inlineStr">
        <is>
          <t>Fase 1</t>
        </is>
      </c>
      <c r="G58" s="19" t="inlineStr">
        <is>
          <t>Sprint 4</t>
        </is>
      </c>
      <c r="H58" s="19" t="inlineStr">
        <is>
          <t>H3 · MVP (Grupos)</t>
        </is>
      </c>
      <c r="I58" s="19" t="inlineStr">
        <is>
          <t>Como líder quiero recoger peticiones de oración con un formulario configurable.</t>
        </is>
      </c>
      <c r="J58" s="19" t="inlineStr">
        <is>
          <t>Capturar una petición; el formulario se edita sin código.</t>
        </is>
      </c>
      <c r="K58" s="19" t="inlineStr">
        <is>
          <t>VoBo pendiente</t>
        </is>
      </c>
      <c r="L58" s="19" t="inlineStr">
        <is>
          <t>En pruebas</t>
        </is>
      </c>
      <c r="M58" s="19" t="inlineStr">
        <is>
          <t>Rama feature/m3-peticiones-oracion · 166 pruebas de backend y 32 de frontend pasan; probado contra la base real</t>
        </is>
      </c>
      <c r="N58" s="19" t="inlineStr">
        <is>
          <t>2026-10-24 · Formulario configurable y versionado; captura desde la reunión y el grupo.</t>
        </is>
      </c>
    </row>
    <row r="59">
      <c r="A59" s="18" t="inlineStr">
        <is>
          <t>M3-06</t>
        </is>
      </c>
      <c r="B59" s="19" t="inlineStr">
        <is>
          <t>M3 Grupos de Conexión</t>
        </is>
      </c>
      <c r="C59" s="19" t="inlineStr">
        <is>
          <t>Alcance de lectura de cada petición, elegido por quien la registra con autorización de quien la pide: «Solo líderes» (Líder, Supervisor, Pastor y Anciano), «Mi grupo» (todos los integrantes del grupo y los anteriores) o «Equipo de oración» (además, quien tenga el rol Equipo de oración). El alcance por defecto es configurable. Quien registra siempre ve lo que registró; el Administrador Técnico nunca ve el contenido. Solo líderes y superiores marcan una petición como atendida. Se guardan cifradas y se borran automáticamente a los 30 días, configurable. Consultarlas y atenderlas queda en bitácora sin incluir el texto.</t>
        </is>
      </c>
      <c r="D59" s="21" t="inlineStr">
        <is>
          <t>Resp. P8 + Respuesta</t>
        </is>
      </c>
      <c r="E59" s="19" t="inlineStr">
        <is>
          <t>MVP</t>
        </is>
      </c>
      <c r="F59" s="19" t="inlineStr">
        <is>
          <t>Fase 1</t>
        </is>
      </c>
      <c r="G59" s="19" t="inlineStr">
        <is>
          <t>Sprint 4</t>
        </is>
      </c>
      <c r="H59" s="19" t="inlineStr">
        <is>
          <t>H3 · MVP (Grupos)</t>
        </is>
      </c>
      <c r="I59" s="19" t="inlineStr">
        <is>
          <t>Como pastor quiero que las peticiones solo las vea el Líder y superiores y se borren al vencer.</t>
        </is>
      </c>
      <c r="J59" s="19" t="inlineStr">
        <is>
          <t>El Secretario no las ve; tras el plazo configurable (por defecto 30 días) se eliminan.</t>
        </is>
      </c>
      <c r="K59" s="19" t="inlineStr">
        <is>
          <t>VoBo pendiente</t>
        </is>
      </c>
      <c r="L59" s="19" t="inlineStr">
        <is>
          <t>En pruebas</t>
        </is>
      </c>
      <c r="M59" s="19" t="inlineStr">
        <is>
          <t>Rama feature/m3-peticiones-oracion · 166 pruebas de backend y 32 de frontend pasan; probado contra la base real</t>
        </is>
      </c>
      <c r="N59" s="19" t="inlineStr">
        <is>
          <t>2026-10-24 · Alcance por petición (líderes, grupo, equipo), cifrado y borrado a los 30 días configurable. Cambia la matriz aprobada: actualizar con la iglesia.</t>
        </is>
      </c>
    </row>
    <row r="60">
      <c r="A60" s="18" t="inlineStr">
        <is>
          <t>M3-07</t>
        </is>
      </c>
      <c r="B60" s="19" t="inlineStr">
        <is>
          <t>M3 Grupos de Conexión</t>
        </is>
      </c>
      <c r="C60" s="19" t="inlineStr">
        <is>
          <t>Dashboard de supervisión («Resumen de grupos») para Supervisor, Líder, Pastor y Anciano sobre los grupos que cada uno puede consultar: asistencia por semana y por grupo, grupos sin lista esta semana, asistencia por debajo de un mínimo configurable (60 % por defecto), ofrendas avaladas, pendientes y con diferencia (solo si el rol ve finanzas) y peticiones activas (solo las que puede leer). No muestra datos de personas. El Secretario y el Tesorero no lo ven.</t>
        </is>
      </c>
      <c r="D60" s="19" t="inlineStr">
        <is>
          <t>v3</t>
        </is>
      </c>
      <c r="E60" s="19" t="inlineStr">
        <is>
          <t>MVP básico</t>
        </is>
      </c>
      <c r="F60" s="19" t="inlineStr">
        <is>
          <t>Fase 1</t>
        </is>
      </c>
      <c r="G60" s="19" t="inlineStr">
        <is>
          <t>Sprint 5</t>
        </is>
      </c>
      <c r="H60" s="19" t="inlineStr">
        <is>
          <t>H3 · MVP (Grupos)</t>
        </is>
      </c>
      <c r="I60" s="19" t="inlineStr">
        <is>
          <t>Como supervisor quiero ver la salud de mis grupos.</t>
        </is>
      </c>
      <c r="J60" s="19" t="inlineStr">
        <is>
          <t>El dashboard muestra asistencia, ofrendas y crecimiento según permisos.</t>
        </is>
      </c>
      <c r="K60" s="19" t="inlineStr">
        <is>
          <t>VoBo pendiente</t>
        </is>
      </c>
      <c r="L60" s="19" t="inlineStr">
        <is>
          <t>En pruebas</t>
        </is>
      </c>
      <c r="M60" s="19" t="inlineStr">
        <is>
          <t>Rama feature/m3-dashboard-tablero · 195 pruebas de backend y 39 de frontend pasan; probado contra la base real</t>
        </is>
      </c>
      <c r="N60" s="19" t="inlineStr">
        <is>
          <t>2026-10-25 · Dashboard con asistencia, avisos y datos según rol; umbral configurable.</t>
        </is>
      </c>
    </row>
    <row r="61">
      <c r="A61" s="18" t="inlineStr">
        <is>
          <t>M3-08</t>
        </is>
      </c>
      <c r="B61" s="19" t="inlineStr">
        <is>
          <t>M3 Grupos de Conexión</t>
        </is>
      </c>
      <c r="C61" s="19" t="inlineStr">
        <is>
          <t>Ubicación de zona del grupo para que personas cercanas lo encuentren, sin exponer el domicilio exacto. Por definir.</t>
        </is>
      </c>
      <c r="D61" s="19" t="inlineStr">
        <is>
          <t>v3</t>
        </is>
      </c>
      <c r="E61" s="19" t="inlineStr">
        <is>
          <t>Fuera del MVP</t>
        </is>
      </c>
      <c r="F61" s="19" t="inlineStr">
        <is>
          <t>Fase 4</t>
        </is>
      </c>
      <c r="G61" s="19" t="inlineStr">
        <is>
          <t>—</t>
        </is>
      </c>
      <c r="H61" s="19" t="inlineStr">
        <is>
          <t>Posterior</t>
        </is>
      </c>
      <c r="I61" s="20" t="inlineStr">
        <is>
          <t>Se define al iniciar la fase.</t>
        </is>
      </c>
      <c r="J61" s="20" t="inlineStr">
        <is>
          <t>Se define al iniciar la fase.</t>
        </is>
      </c>
      <c r="K61" s="19" t="inlineStr">
        <is>
          <t>Por definir</t>
        </is>
      </c>
      <c r="L61" s="19" t="inlineStr">
        <is>
          <t>Pendiente</t>
        </is>
      </c>
      <c r="M61" s="19" t="inlineStr"/>
      <c r="N61" s="19" t="inlineStr"/>
    </row>
    <row r="62">
      <c r="A62" s="18" t="inlineStr">
        <is>
          <t>M3-09</t>
        </is>
      </c>
      <c r="B62" s="19" t="inlineStr">
        <is>
          <t>M3 Grupos de Conexión</t>
        </is>
      </c>
      <c r="C62" s="19" t="inlineStr">
        <is>
          <t>A un grupo asisten miembros de la iglesia (vecinos o no) e invitados del grupo que no asisten a la iglesia. Los invitados se registran como Contacto con datos mínimos y se les puede invitar a consolidación.</t>
        </is>
      </c>
      <c r="D62" s="21" t="inlineStr">
        <is>
          <t>Corrección v3.2</t>
        </is>
      </c>
      <c r="E62" s="19" t="inlineStr">
        <is>
          <t>MVP</t>
        </is>
      </c>
      <c r="F62" s="19" t="inlineStr">
        <is>
          <t>Fase 1</t>
        </is>
      </c>
      <c r="G62" s="19" t="inlineStr">
        <is>
          <t>Sprint 3</t>
        </is>
      </c>
      <c r="H62" s="19" t="inlineStr">
        <is>
          <t>H3 · MVP (Grupos)</t>
        </is>
      </c>
      <c r="I62" s="19" t="inlineStr">
        <is>
          <t>Como secretario quiero registrar invitados del grupo con datos mínimos.</t>
        </is>
      </c>
      <c r="J62" s="19" t="inlineStr">
        <is>
          <t>Registrar un invitado como Contacto y marcarlo presente.</t>
        </is>
      </c>
      <c r="K62" s="19" t="inlineStr">
        <is>
          <t>VoBo pendiente</t>
        </is>
      </c>
      <c r="L62" s="19" t="inlineStr">
        <is>
          <t>En pruebas</t>
        </is>
      </c>
      <c r="M62" s="19" t="inlineStr">
        <is>
          <t>Rama feature/paso-5-invitaciones · pruebas de backend y 93 de frontend pasan; lint, estilos y compilación limpios</t>
        </is>
      </c>
      <c r="N62" s="19" t="inlineStr">
        <is>
          <t>2026-10-27 · Los invitados entran al grupo como Contacto cuando el líder aprueba su solicitud por enlace o QR.</t>
        </is>
      </c>
    </row>
    <row r="63">
      <c r="A63" s="18" t="inlineStr">
        <is>
          <t>M3-10</t>
        </is>
      </c>
      <c r="B63" s="19" t="inlineStr">
        <is>
          <t>M3 Grupos de Conexión</t>
        </is>
      </c>
      <c r="C63" s="19" t="inlineStr">
        <is>
          <t>Confidencialidad de ofrendas y asistencias: consulta limitada por rol (matriz por definir) y modificación restringida, todo en bitácora.</t>
        </is>
      </c>
      <c r="D63" s="21" t="inlineStr">
        <is>
          <t>Obs. 5</t>
        </is>
      </c>
      <c r="E63" s="19" t="inlineStr">
        <is>
          <t>MVP</t>
        </is>
      </c>
      <c r="F63" s="19" t="inlineStr">
        <is>
          <t>Fase 1</t>
        </is>
      </c>
      <c r="G63" s="19" t="inlineStr">
        <is>
          <t>Sprint 4</t>
        </is>
      </c>
      <c r="H63" s="19" t="inlineStr">
        <is>
          <t>H3 · MVP (Grupos)</t>
        </is>
      </c>
      <c r="I63" s="19" t="inlineStr">
        <is>
          <t>Como pastor quiero que ofrendas y asistencias sean confidenciales.</t>
        </is>
      </c>
      <c r="J63" s="19" t="inlineStr">
        <is>
          <t>La matriz de la sección 3.3 del v3.2 se cumple en pruebas por cada rol.</t>
        </is>
      </c>
      <c r="K63" s="19" t="inlineStr">
        <is>
          <t>Por definir</t>
        </is>
      </c>
      <c r="L63" s="19" t="inlineStr">
        <is>
          <t>Pendiente</t>
        </is>
      </c>
      <c r="M63" s="19" t="inlineStr"/>
      <c r="N63" s="19" t="inlineStr"/>
    </row>
    <row r="64">
      <c r="A64" s="18" t="inlineStr">
        <is>
          <t>M3-11</t>
        </is>
      </c>
      <c r="B64" s="19" t="inlineStr">
        <is>
          <t>M3 Grupos de Conexión</t>
        </is>
      </c>
      <c r="C64" s="19" t="inlineStr">
        <is>
          <t>Tablero de mensajes del grupo: lo publican Líder, Supervisor, Secretario y Pastor; lo leen todos los integrantes activos. Mensajes de hasta 1,000 caracteres, con opción de fijarlos, borrado lógico, contador de mensajes nuevos y conservación configurable (90 días). Pantalla «Avisos» para quien no abre la página del grupo.</t>
        </is>
      </c>
      <c r="D64" s="21" t="inlineStr">
        <is>
          <t>Obs. 7</t>
        </is>
      </c>
      <c r="E64" s="19" t="inlineStr">
        <is>
          <t>MVP</t>
        </is>
      </c>
      <c r="F64" s="19" t="inlineStr">
        <is>
          <t>Fase 1</t>
        </is>
      </c>
      <c r="G64" s="19" t="inlineStr">
        <is>
          <t>Sprint 5</t>
        </is>
      </c>
      <c r="H64" s="19" t="inlineStr">
        <is>
          <t>H3 · MVP (Grupos)</t>
        </is>
      </c>
      <c r="I64" s="19" t="inlineStr">
        <is>
          <t>Como líder quiero un tablero de mensajes de mi grupo.</t>
        </is>
      </c>
      <c r="J64" s="19" t="inlineStr">
        <is>
          <t>Publicar y leer mensajes del grupo.</t>
        </is>
      </c>
      <c r="K64" s="19" t="inlineStr">
        <is>
          <t>VoBo pendiente</t>
        </is>
      </c>
      <c r="L64" s="19" t="inlineStr">
        <is>
          <t>En pruebas</t>
        </is>
      </c>
      <c r="M64" s="19" t="inlineStr">
        <is>
          <t>Rama feature/m3-dashboard-tablero · 195 pruebas de backend y 39 de frontend pasan; probado contra la base real</t>
        </is>
      </c>
      <c r="N64" s="19" t="inlineStr">
        <is>
          <t>2026-10-25 · Tablero con fijados, no leídos y retención configurable; la notificación push de mensajes nuevos se entrega con M1-09.</t>
        </is>
      </c>
    </row>
    <row r="65">
      <c r="A65" s="18" t="inlineStr">
        <is>
          <t>M3-12</t>
        </is>
      </c>
      <c r="B65" s="19" t="inlineStr">
        <is>
          <t>M3 Grupos de Conexión</t>
        </is>
      </c>
      <c r="C65" s="19" t="inlineStr">
        <is>
          <t>Reuniones: cada grupo se reúne una vez por semana en casa del líder (día y hora por grupo) y existe una reunión general de líderes, modelada como un grupo de tipo «Líderes».</t>
        </is>
      </c>
      <c r="D65" s="21" t="inlineStr">
        <is>
          <t>Respuesta</t>
        </is>
      </c>
      <c r="E65" s="19" t="inlineStr">
        <is>
          <t>MVP</t>
        </is>
      </c>
      <c r="F65" s="19" t="inlineStr">
        <is>
          <t>Fase 1</t>
        </is>
      </c>
      <c r="G65" s="19" t="inlineStr">
        <is>
          <t>Sprint 3</t>
        </is>
      </c>
      <c r="H65" s="19" t="inlineStr">
        <is>
          <t>H3 · MVP (Grupos)</t>
        </is>
      </c>
      <c r="I65" s="20" t="inlineStr">
        <is>
          <t>Se define al iniciar la fase.</t>
        </is>
      </c>
      <c r="J65" s="20" t="inlineStr">
        <is>
          <t>Se define al iniciar la fase.</t>
        </is>
      </c>
      <c r="K65" s="19" t="inlineStr">
        <is>
          <t>VoBo pendiente</t>
        </is>
      </c>
      <c r="L65" s="19" t="inlineStr">
        <is>
          <t>En pruebas</t>
        </is>
      </c>
      <c r="M65" s="19" t="inlineStr">
        <is>
          <t>Rama feature/grupos-paso-3 · pruebas de backend y 81 de frontend pasan; lint, estilos y compilación limpios</t>
        </is>
      </c>
      <c r="N65" s="19" t="inlineStr">
        <is>
          <t>2026-10-27 · Una reunión semanal por grupo y grupo tipo Líderes; filtros por día, sector, líder y estado; cada reunión muestra su asistencia, observaciones, peticiones y ofrendas.</t>
        </is>
      </c>
    </row>
    <row r="66">
      <c r="A66" s="18" t="inlineStr">
        <is>
          <t>M3-13</t>
        </is>
      </c>
      <c r="B66" s="19" t="inlineStr">
        <is>
          <t>M3 Grupos de Conexión</t>
        </is>
      </c>
      <c r="C66" s="19" t="inlineStr">
        <is>
          <t>Parámetros configurables sin programar, con pantalla de Configuración y cada cambio en bitácora: monto máximo por ofrenda (1,000,000 por defecto) y si se permite una sola ofrenda regular por reunión. Solo Pastor y Administrador Técnico.</t>
        </is>
      </c>
      <c r="D66" s="21" t="inlineStr">
        <is>
          <t>Respuesta</t>
        </is>
      </c>
      <c r="E66" s="19" t="inlineStr">
        <is>
          <t>MVP</t>
        </is>
      </c>
      <c r="F66" s="19" t="inlineStr">
        <is>
          <t>Fase 1</t>
        </is>
      </c>
      <c r="G66" s="19" t="inlineStr">
        <is>
          <t>Sprint 4</t>
        </is>
      </c>
      <c r="H66" s="19" t="inlineStr">
        <is>
          <t>H3 · MVP (Grupos)</t>
        </is>
      </c>
      <c r="I66" s="20" t="inlineStr">
        <is>
          <t>Se define al iniciar la fase.</t>
        </is>
      </c>
      <c r="J66" s="20" t="inlineStr">
        <is>
          <t>Se define al iniciar la fase.</t>
        </is>
      </c>
      <c r="K66" s="19" t="inlineStr">
        <is>
          <t>VoBo pendiente</t>
        </is>
      </c>
      <c r="L66" s="19" t="inlineStr">
        <is>
          <t>En pruebas</t>
        </is>
      </c>
      <c r="M66" s="19" t="inlineStr">
        <is>
          <t>Rama feature/m3-ofrendas-ajustes · 121 pruebas de backend y 14 de frontend pasan</t>
        </is>
      </c>
      <c r="N66" s="19" t="inlineStr">
        <is>
          <t>2026-10-24 · Pantalla Configuración: monto máximo y una regular por reunión.</t>
        </is>
      </c>
    </row>
    <row r="67">
      <c r="A67" s="18" t="inlineStr">
        <is>
          <t>M3-14</t>
        </is>
      </c>
      <c r="B67" s="19" t="inlineStr">
        <is>
          <t>M3 Grupos de Conexión</t>
        </is>
      </c>
      <c r="C67" s="19" t="inlineStr">
        <is>
          <t>Componente de peticiones reutilizable: cualquier módulo (grupos hoy; cursos o eventos después) se registra como origen y decide quién registra y qué nivel de acceso tiene cada persona. Toda petición guarda su origen de forma inmutable (tipo, identificador y una etiqueta fija, por ejemplo «Grupo de Conexión · Norte · reunión del 22/10/2026») y lo muestra siempre en el listado.</t>
        </is>
      </c>
      <c r="D67" s="21" t="inlineStr">
        <is>
          <t>Respuesta</t>
        </is>
      </c>
      <c r="E67" s="19" t="inlineStr">
        <is>
          <t>MVP</t>
        </is>
      </c>
      <c r="F67" s="19" t="inlineStr">
        <is>
          <t>Fase 1</t>
        </is>
      </c>
      <c r="G67" s="19" t="inlineStr">
        <is>
          <t>Sprint 4</t>
        </is>
      </c>
      <c r="H67" s="19" t="inlineStr">
        <is>
          <t>H3 · MVP (Grupos)</t>
        </is>
      </c>
      <c r="I67" s="20" t="inlineStr">
        <is>
          <t>Se define al iniciar la fase.</t>
        </is>
      </c>
      <c r="J67" s="20" t="inlineStr">
        <is>
          <t>Se define al iniciar la fase.</t>
        </is>
      </c>
      <c r="K67" s="19" t="inlineStr">
        <is>
          <t>VoBo pendiente</t>
        </is>
      </c>
      <c r="L67" s="19" t="inlineStr">
        <is>
          <t>En pruebas</t>
        </is>
      </c>
      <c r="M67" s="19" t="inlineStr">
        <is>
          <t>Rama feature/m3-peticiones-oracion · 166 pruebas de backend y 32 de frontend pasan; probado contra la base real</t>
        </is>
      </c>
      <c r="N67" s="19" t="inlineStr">
        <is>
          <t>2026-10-24 · Origen inmutable y visible; probado con un segundo origen de prueba para verificar la reutilización.</t>
        </is>
      </c>
    </row>
    <row r="68">
      <c r="A68" s="18" t="inlineStr">
        <is>
          <t>M3-15</t>
        </is>
      </c>
      <c r="B68" s="19" t="inlineStr">
        <is>
          <t>M3 Grupos de Conexión</t>
        </is>
      </c>
      <c r="C68" s="19" t="inlineStr">
        <is>
          <t>Equipo de oración: rol configurable (Equipo de oración) que se asigna a las personas que se reúnen a orar por las peticiones compartidas con ese alcance; no da acceso a nada más. Opción de ocultar el nombre de quien pide: los campos del formulario marcados «identifica a la persona» solo los ven líderes y quien registró. Al capturar se muestra una leyenda que pide confirmar la autorización de quien pide, indica quién la leerá y cuándo se borra.</t>
        </is>
      </c>
      <c r="D68" s="21" t="inlineStr">
        <is>
          <t>Respuesta</t>
        </is>
      </c>
      <c r="E68" s="19" t="inlineStr">
        <is>
          <t>MVP</t>
        </is>
      </c>
      <c r="F68" s="19" t="inlineStr">
        <is>
          <t>Fase 1</t>
        </is>
      </c>
      <c r="G68" s="19" t="inlineStr">
        <is>
          <t>Sprint 4</t>
        </is>
      </c>
      <c r="H68" s="19" t="inlineStr">
        <is>
          <t>H3 · MVP (Grupos)</t>
        </is>
      </c>
      <c r="I68" s="20" t="inlineStr">
        <is>
          <t>Se define al iniciar la fase.</t>
        </is>
      </c>
      <c r="J68" s="20" t="inlineStr">
        <is>
          <t>Se define al iniciar la fase.</t>
        </is>
      </c>
      <c r="K68" s="19" t="inlineStr">
        <is>
          <t>VoBo pendiente</t>
        </is>
      </c>
      <c r="L68" s="19" t="inlineStr">
        <is>
          <t>En pruebas</t>
        </is>
      </c>
      <c r="M68" s="19" t="inlineStr">
        <is>
          <t>Rama feature/m3-peticiones-oracion · 166 pruebas de backend y 32 de frontend pasan; probado contra la base real</t>
        </is>
      </c>
      <c r="N68" s="19" t="inlineStr">
        <is>
          <t>2026-10-24 · Rol Equipo de oración, nombre oculto y leyenda de privacidad al capturar. Falta el aviso de privacidad oficial de la iglesia.</t>
        </is>
      </c>
    </row>
    <row r="69">
      <c r="A69" s="18" t="inlineStr">
        <is>
          <t>M4-01</t>
        </is>
      </c>
      <c r="B69" s="19" t="inlineStr">
        <is>
          <t>M4 Kids Check-In/Out</t>
        </is>
      </c>
      <c r="C69" s="19" t="inlineStr">
        <is>
          <t>Sustitución de la ficha física de papel.</t>
        </is>
      </c>
      <c r="D69" s="19" t="inlineStr">
        <is>
          <t>v1 / v2</t>
        </is>
      </c>
      <c r="E69" s="19" t="inlineStr">
        <is>
          <t>Fuera del MVP</t>
        </is>
      </c>
      <c r="F69" s="19" t="inlineStr">
        <is>
          <t>Fase 2</t>
        </is>
      </c>
      <c r="G69" s="19" t="inlineStr">
        <is>
          <t>—</t>
        </is>
      </c>
      <c r="H69" s="19" t="inlineStr">
        <is>
          <t>Posterior</t>
        </is>
      </c>
      <c r="I69" s="20" t="inlineStr">
        <is>
          <t>Se define al iniciar la fase.</t>
        </is>
      </c>
      <c r="J69" s="20" t="inlineStr">
        <is>
          <t>Se define al iniciar la fase.</t>
        </is>
      </c>
      <c r="K69" s="19" t="inlineStr">
        <is>
          <t>VoBo pendiente</t>
        </is>
      </c>
      <c r="L69" s="19" t="inlineStr">
        <is>
          <t>Pendiente</t>
        </is>
      </c>
      <c r="M69" s="19" t="inlineStr"/>
      <c r="N69" s="19" t="inlineStr"/>
    </row>
    <row r="70">
      <c r="A70" s="18" t="inlineStr">
        <is>
          <t>M4-02</t>
        </is>
      </c>
      <c r="B70" s="19" t="inlineStr">
        <is>
          <t>M4 Kids Check-In/Out</t>
        </is>
      </c>
      <c r="C70" s="19" t="inlineStr">
        <is>
          <t>Registro de ingreso del menor con salón o clase asignada y generación de código único.</t>
        </is>
      </c>
      <c r="D70" s="21" t="inlineStr">
        <is>
          <t>v1 + Nuevo v3</t>
        </is>
      </c>
      <c r="E70" s="19" t="inlineStr">
        <is>
          <t>Fuera del MVP</t>
        </is>
      </c>
      <c r="F70" s="19" t="inlineStr">
        <is>
          <t>Fase 2</t>
        </is>
      </c>
      <c r="G70" s="19" t="inlineStr">
        <is>
          <t>—</t>
        </is>
      </c>
      <c r="H70" s="19" t="inlineStr">
        <is>
          <t>Posterior</t>
        </is>
      </c>
      <c r="I70" s="20" t="inlineStr">
        <is>
          <t>Se define al iniciar la fase.</t>
        </is>
      </c>
      <c r="J70" s="20" t="inlineStr">
        <is>
          <t>Se define al iniciar la fase.</t>
        </is>
      </c>
      <c r="K70" s="19" t="inlineStr">
        <is>
          <t>VoBo pendiente</t>
        </is>
      </c>
      <c r="L70" s="19" t="inlineStr">
        <is>
          <t>Pendiente</t>
        </is>
      </c>
      <c r="M70" s="19" t="inlineStr"/>
      <c r="N70" s="19" t="inlineStr"/>
    </row>
    <row r="71">
      <c r="A71" s="18" t="inlineStr">
        <is>
          <t>M4-03</t>
        </is>
      </c>
      <c r="B71" s="19" t="inlineStr">
        <is>
          <t>M4 Kids Check-In/Out</t>
        </is>
      </c>
      <c r="C71" s="19" t="inlineStr">
        <is>
          <t>Código QR dinámico o OTP temporal en la PWA del padre o tutor.</t>
        </is>
      </c>
      <c r="D71" s="19" t="inlineStr">
        <is>
          <t>v2</t>
        </is>
      </c>
      <c r="E71" s="19" t="inlineStr">
        <is>
          <t>Fuera del MVP</t>
        </is>
      </c>
      <c r="F71" s="19" t="inlineStr">
        <is>
          <t>Fase 2</t>
        </is>
      </c>
      <c r="G71" s="19" t="inlineStr">
        <is>
          <t>—</t>
        </is>
      </c>
      <c r="H71" s="19" t="inlineStr">
        <is>
          <t>Posterior</t>
        </is>
      </c>
      <c r="I71" s="20" t="inlineStr">
        <is>
          <t>Se define al iniciar la fase.</t>
        </is>
      </c>
      <c r="J71" s="20" t="inlineStr">
        <is>
          <t>Se define al iniciar la fase.</t>
        </is>
      </c>
      <c r="K71" s="19" t="inlineStr">
        <is>
          <t>VoBo pendiente</t>
        </is>
      </c>
      <c r="L71" s="19" t="inlineStr">
        <is>
          <t>Pendiente</t>
        </is>
      </c>
      <c r="M71" s="19" t="inlineStr"/>
      <c r="N71" s="19" t="inlineStr"/>
    </row>
    <row r="72">
      <c r="A72" s="18" t="inlineStr">
        <is>
          <t>M4-04</t>
        </is>
      </c>
      <c r="B72" s="19" t="inlineStr">
        <is>
          <t>M4 Kids Check-In/Out</t>
        </is>
      </c>
      <c r="C72" s="19" t="inlineStr">
        <is>
          <t>Validación al entregar: el servidor de Kids escanea el código y confirma identidad y fotografía del tutor autorizado en el Expediente Digital.</t>
        </is>
      </c>
      <c r="D72" s="19" t="inlineStr">
        <is>
          <t>v2</t>
        </is>
      </c>
      <c r="E72" s="19" t="inlineStr">
        <is>
          <t>Fuera del MVP</t>
        </is>
      </c>
      <c r="F72" s="19" t="inlineStr">
        <is>
          <t>Fase 2</t>
        </is>
      </c>
      <c r="G72" s="19" t="inlineStr">
        <is>
          <t>—</t>
        </is>
      </c>
      <c r="H72" s="19" t="inlineStr">
        <is>
          <t>Posterior</t>
        </is>
      </c>
      <c r="I72" s="20" t="inlineStr">
        <is>
          <t>Se define al iniciar la fase.</t>
        </is>
      </c>
      <c r="J72" s="20" t="inlineStr">
        <is>
          <t>Se define al iniciar la fase.</t>
        </is>
      </c>
      <c r="K72" s="19" t="inlineStr">
        <is>
          <t>VoBo pendiente</t>
        </is>
      </c>
      <c r="L72" s="19" t="inlineStr">
        <is>
          <t>Pendiente</t>
        </is>
      </c>
      <c r="M72" s="19" t="inlineStr"/>
      <c r="N72" s="19" t="inlineStr"/>
    </row>
    <row r="73">
      <c r="A73" s="18" t="inlineStr">
        <is>
          <t>M4-05</t>
        </is>
      </c>
      <c r="B73" s="19" t="inlineStr">
        <is>
          <t>M4 Kids Check-In/Out</t>
        </is>
      </c>
      <c r="C73" s="19" t="inlineStr">
        <is>
          <t>Alternativa para tutores sin smartphone, sin batería o sin conexión (p. ej. código por SMS o comprobante imprimible con identificación). Por definir.</t>
        </is>
      </c>
      <c r="D73" s="21" t="inlineStr">
        <is>
          <t>Nuevo v3</t>
        </is>
      </c>
      <c r="E73" s="19" t="inlineStr">
        <is>
          <t>Fuera del MVP</t>
        </is>
      </c>
      <c r="F73" s="19" t="inlineStr">
        <is>
          <t>Fase 2</t>
        </is>
      </c>
      <c r="G73" s="19" t="inlineStr">
        <is>
          <t>—</t>
        </is>
      </c>
      <c r="H73" s="19" t="inlineStr">
        <is>
          <t>Posterior</t>
        </is>
      </c>
      <c r="I73" s="20" t="inlineStr">
        <is>
          <t>Se define al iniciar la fase.</t>
        </is>
      </c>
      <c r="J73" s="20" t="inlineStr">
        <is>
          <t>Se define al iniciar la fase.</t>
        </is>
      </c>
      <c r="K73" s="19" t="inlineStr">
        <is>
          <t>Por definir</t>
        </is>
      </c>
      <c r="L73" s="19" t="inlineStr">
        <is>
          <t>Pendiente</t>
        </is>
      </c>
      <c r="M73" s="19" t="inlineStr"/>
      <c r="N73" s="19" t="inlineStr"/>
    </row>
    <row r="74">
      <c r="A74" s="18" t="inlineStr">
        <is>
          <t>M4-06</t>
        </is>
      </c>
      <c r="B74" s="19" t="inlineStr">
        <is>
          <t>M4 Kids Check-In/Out</t>
        </is>
      </c>
      <c r="C74" s="19" t="inlineStr">
        <is>
          <t>Autorización temporal de un tercero para recoger al menor, con aprobación del tutor registrado.</t>
        </is>
      </c>
      <c r="D74" s="21" t="inlineStr">
        <is>
          <t>Nuevo v3</t>
        </is>
      </c>
      <c r="E74" s="19" t="inlineStr">
        <is>
          <t>Fuera del MVP</t>
        </is>
      </c>
      <c r="F74" s="19" t="inlineStr">
        <is>
          <t>Fase 2</t>
        </is>
      </c>
      <c r="G74" s="19" t="inlineStr">
        <is>
          <t>—</t>
        </is>
      </c>
      <c r="H74" s="19" t="inlineStr">
        <is>
          <t>Posterior</t>
        </is>
      </c>
      <c r="I74" s="20" t="inlineStr">
        <is>
          <t>Se define al iniciar la fase.</t>
        </is>
      </c>
      <c r="J74" s="20" t="inlineStr">
        <is>
          <t>Se define al iniciar la fase.</t>
        </is>
      </c>
      <c r="K74" s="19" t="inlineStr">
        <is>
          <t>VoBo pendiente</t>
        </is>
      </c>
      <c r="L74" s="19" t="inlineStr">
        <is>
          <t>Pendiente</t>
        </is>
      </c>
      <c r="M74" s="19" t="inlineStr"/>
      <c r="N74" s="19" t="inlineStr"/>
    </row>
    <row r="75">
      <c r="A75" s="18" t="inlineStr">
        <is>
          <t>M4-07</t>
        </is>
      </c>
      <c r="B75" s="19" t="inlineStr">
        <is>
          <t>M4 Kids Check-In/Out</t>
        </is>
      </c>
      <c r="C75" s="19" t="inlineStr">
        <is>
          <t>Caducidad del código y bitácora de cada entrega (quién recogió, quién entregó, hora).</t>
        </is>
      </c>
      <c r="D75" s="21" t="inlineStr">
        <is>
          <t>Nuevo v3</t>
        </is>
      </c>
      <c r="E75" s="19" t="inlineStr">
        <is>
          <t>Fuera del MVP</t>
        </is>
      </c>
      <c r="F75" s="19" t="inlineStr">
        <is>
          <t>Fase 2</t>
        </is>
      </c>
      <c r="G75" s="19" t="inlineStr">
        <is>
          <t>—</t>
        </is>
      </c>
      <c r="H75" s="19" t="inlineStr">
        <is>
          <t>Posterior</t>
        </is>
      </c>
      <c r="I75" s="20" t="inlineStr">
        <is>
          <t>Se define al iniciar la fase.</t>
        </is>
      </c>
      <c r="J75" s="20" t="inlineStr">
        <is>
          <t>Se define al iniciar la fase.</t>
        </is>
      </c>
      <c r="K75" s="19" t="inlineStr">
        <is>
          <t>VoBo pendiente</t>
        </is>
      </c>
      <c r="L75" s="19" t="inlineStr">
        <is>
          <t>Pendiente</t>
        </is>
      </c>
      <c r="M75" s="19" t="inlineStr"/>
      <c r="N75" s="19" t="inlineStr"/>
    </row>
    <row r="76">
      <c r="A76" s="18" t="inlineStr">
        <is>
          <t>M4-08</t>
        </is>
      </c>
      <c r="B76" s="19" t="inlineStr">
        <is>
          <t>M4 Kids Check-In/Out</t>
        </is>
      </c>
      <c r="C76" s="19" t="inlineStr">
        <is>
          <t>Funcionamiento sin conexión o con conexión degradada para el check-out.</t>
        </is>
      </c>
      <c r="D76" s="21" t="inlineStr">
        <is>
          <t>Nuevo v3</t>
        </is>
      </c>
      <c r="E76" s="19" t="inlineStr">
        <is>
          <t>Fuera del MVP</t>
        </is>
      </c>
      <c r="F76" s="19" t="inlineStr">
        <is>
          <t>Fase 2</t>
        </is>
      </c>
      <c r="G76" s="19" t="inlineStr">
        <is>
          <t>—</t>
        </is>
      </c>
      <c r="H76" s="19" t="inlineStr">
        <is>
          <t>Posterior</t>
        </is>
      </c>
      <c r="I76" s="20" t="inlineStr">
        <is>
          <t>Se define al iniciar la fase.</t>
        </is>
      </c>
      <c r="J76" s="20" t="inlineStr">
        <is>
          <t>Se define al iniciar la fase.</t>
        </is>
      </c>
      <c r="K76" s="19" t="inlineStr">
        <is>
          <t>VoBo pendiente</t>
        </is>
      </c>
      <c r="L76" s="19" t="inlineStr">
        <is>
          <t>Pendiente</t>
        </is>
      </c>
      <c r="M76" s="19" t="inlineStr"/>
      <c r="N76" s="19" t="inlineStr"/>
    </row>
    <row r="77">
      <c r="A77" s="18" t="inlineStr">
        <is>
          <t>M5-01</t>
        </is>
      </c>
      <c r="B77" s="19" t="inlineStr">
        <is>
          <t>M5 Áreas y servidores</t>
        </is>
      </c>
      <c r="C77" s="19" t="inlineStr">
        <is>
          <t>Catálogo mínimo de áreas y asignación de servidores. Versión reducida del módulo 5, necesaria para permisos por área. Sirve como primer censo.</t>
        </is>
      </c>
      <c r="D77" s="19" t="inlineStr">
        <is>
          <t>v3</t>
        </is>
      </c>
      <c r="E77" s="19" t="inlineStr">
        <is>
          <t>MVP mínimo</t>
        </is>
      </c>
      <c r="F77" s="19" t="inlineStr">
        <is>
          <t>Fase 0</t>
        </is>
      </c>
      <c r="G77" s="19" t="inlineStr">
        <is>
          <t>Sprint 1</t>
        </is>
      </c>
      <c r="H77" s="19" t="inlineStr">
        <is>
          <t>H2 · Fase 0 completa</t>
        </is>
      </c>
      <c r="I77" s="19" t="inlineStr">
        <is>
          <t>Como pastor quiero un catálogo de áreas con su personal para conocer la estructura.</t>
        </is>
      </c>
      <c r="J77" s="19" t="inlineStr">
        <is>
          <t>Crear un área, asignar servidores y ver el conteo real.</t>
        </is>
      </c>
      <c r="K77" s="19" t="inlineStr">
        <is>
          <t>VoBo pendiente</t>
        </is>
      </c>
      <c r="L77" s="19" t="inlineStr">
        <is>
          <t>Pendiente</t>
        </is>
      </c>
      <c r="M77" s="19" t="inlineStr"/>
      <c r="N77" s="19" t="inlineStr"/>
    </row>
    <row r="78">
      <c r="A78" s="18" t="inlineStr">
        <is>
          <t>M5-02</t>
        </is>
      </c>
      <c r="B78" s="19" t="inlineStr">
        <is>
          <t>M5 Áreas y servidores</t>
        </is>
      </c>
      <c r="C78" s="19" t="inlineStr">
        <is>
          <t>Roles jerárquicos dentro de cada área (directores, líderes, maestros, servidores).</t>
        </is>
      </c>
      <c r="D78" s="19" t="inlineStr">
        <is>
          <t>v1</t>
        </is>
      </c>
      <c r="E78" s="19" t="inlineStr">
        <is>
          <t>Fuera del MVP</t>
        </is>
      </c>
      <c r="F78" s="19" t="inlineStr">
        <is>
          <t>Fase 4</t>
        </is>
      </c>
      <c r="G78" s="19" t="inlineStr">
        <is>
          <t>—</t>
        </is>
      </c>
      <c r="H78" s="19" t="inlineStr">
        <is>
          <t>Posterior</t>
        </is>
      </c>
      <c r="I78" s="20" t="inlineStr">
        <is>
          <t>Se define al iniciar la fase.</t>
        </is>
      </c>
      <c r="J78" s="20" t="inlineStr">
        <is>
          <t>Se define al iniciar la fase.</t>
        </is>
      </c>
      <c r="K78" s="19" t="inlineStr">
        <is>
          <t>VoBo pendiente</t>
        </is>
      </c>
      <c r="L78" s="19" t="inlineStr">
        <is>
          <t>Pendiente</t>
        </is>
      </c>
      <c r="M78" s="19" t="inlineStr"/>
      <c r="N78" s="19" t="inlineStr"/>
    </row>
    <row r="79">
      <c r="A79" s="18" t="inlineStr">
        <is>
          <t>M5-03</t>
        </is>
      </c>
      <c r="B79" s="19" t="inlineStr">
        <is>
          <t>M5 Áreas y servidores</t>
        </is>
      </c>
      <c r="C79" s="19" t="inlineStr">
        <is>
          <t>Organigrama y número real de servidores activos, directores y líderes por área.</t>
        </is>
      </c>
      <c r="D79" s="19" t="inlineStr">
        <is>
          <t>v2</t>
        </is>
      </c>
      <c r="E79" s="19" t="inlineStr">
        <is>
          <t>Fuera del MVP</t>
        </is>
      </c>
      <c r="F79" s="19" t="inlineStr">
        <is>
          <t>Fase 4</t>
        </is>
      </c>
      <c r="G79" s="19" t="inlineStr">
        <is>
          <t>—</t>
        </is>
      </c>
      <c r="H79" s="19" t="inlineStr">
        <is>
          <t>Posterior</t>
        </is>
      </c>
      <c r="I79" s="20" t="inlineStr">
        <is>
          <t>Se define al iniciar la fase.</t>
        </is>
      </c>
      <c r="J79" s="20" t="inlineStr">
        <is>
          <t>Se define al iniciar la fase.</t>
        </is>
      </c>
      <c r="K79" s="19" t="inlineStr">
        <is>
          <t>VoBo pendiente</t>
        </is>
      </c>
      <c r="L79" s="19" t="inlineStr">
        <is>
          <t>Pendiente</t>
        </is>
      </c>
      <c r="M79" s="19" t="inlineStr"/>
      <c r="N79" s="19" t="inlineStr"/>
    </row>
    <row r="80">
      <c r="A80" s="18" t="inlineStr">
        <is>
          <t>M5-04</t>
        </is>
      </c>
      <c r="B80" s="19" t="inlineStr">
        <is>
          <t>M5 Áreas y servidores</t>
        </is>
      </c>
      <c r="C80" s="19" t="inlineStr">
        <is>
          <t>Control de asistencia a turnos o servicios.</t>
        </is>
      </c>
      <c r="D80" s="19" t="inlineStr">
        <is>
          <t>v1 / v2</t>
        </is>
      </c>
      <c r="E80" s="19" t="inlineStr">
        <is>
          <t>Fuera del MVP</t>
        </is>
      </c>
      <c r="F80" s="19" t="inlineStr">
        <is>
          <t>Fase 4</t>
        </is>
      </c>
      <c r="G80" s="19" t="inlineStr">
        <is>
          <t>—</t>
        </is>
      </c>
      <c r="H80" s="19" t="inlineStr">
        <is>
          <t>Posterior</t>
        </is>
      </c>
      <c r="I80" s="20" t="inlineStr">
        <is>
          <t>Se define al iniciar la fase.</t>
        </is>
      </c>
      <c r="J80" s="20" t="inlineStr">
        <is>
          <t>Se define al iniciar la fase.</t>
        </is>
      </c>
      <c r="K80" s="19" t="inlineStr">
        <is>
          <t>VoBo pendiente</t>
        </is>
      </c>
      <c r="L80" s="19" t="inlineStr">
        <is>
          <t>Pendiente</t>
        </is>
      </c>
      <c r="M80" s="19" t="inlineStr"/>
      <c r="N80" s="19" t="inlineStr"/>
    </row>
    <row r="81">
      <c r="A81" s="18" t="inlineStr">
        <is>
          <t>M5-05</t>
        </is>
      </c>
      <c r="B81" s="19" t="inlineStr">
        <is>
          <t>M5 Áreas y servidores</t>
        </is>
      </c>
      <c r="C81" s="19" t="inlineStr">
        <is>
          <t>Tablero de avisos y notificaciones interno por área.</t>
        </is>
      </c>
      <c r="D81" s="19" t="inlineStr">
        <is>
          <t>v1 / v2</t>
        </is>
      </c>
      <c r="E81" s="19" t="inlineStr">
        <is>
          <t>Fuera del MVP</t>
        </is>
      </c>
      <c r="F81" s="19" t="inlineStr">
        <is>
          <t>Fase 4</t>
        </is>
      </c>
      <c r="G81" s="19" t="inlineStr">
        <is>
          <t>—</t>
        </is>
      </c>
      <c r="H81" s="19" t="inlineStr">
        <is>
          <t>Posterior</t>
        </is>
      </c>
      <c r="I81" s="20" t="inlineStr">
        <is>
          <t>Se define al iniciar la fase.</t>
        </is>
      </c>
      <c r="J81" s="20" t="inlineStr">
        <is>
          <t>Se define al iniciar la fase.</t>
        </is>
      </c>
      <c r="K81" s="19" t="inlineStr">
        <is>
          <t>VoBo pendiente</t>
        </is>
      </c>
      <c r="L81" s="19" t="inlineStr">
        <is>
          <t>Pendiente</t>
        </is>
      </c>
      <c r="M81" s="19" t="inlineStr"/>
      <c r="N81" s="19" t="inlineStr"/>
    </row>
    <row r="82">
      <c r="A82" s="18" t="inlineStr">
        <is>
          <t>M5-06</t>
        </is>
      </c>
      <c r="B82" s="19" t="inlineStr">
        <is>
          <t>M5 Áreas y servidores</t>
        </is>
      </c>
      <c r="C82" s="19" t="inlineStr">
        <is>
          <t>Gestión financiera por área: caja chica y gastos operativos.</t>
        </is>
      </c>
      <c r="D82" s="19" t="inlineStr">
        <is>
          <t>v1 / v2</t>
        </is>
      </c>
      <c r="E82" s="19" t="inlineStr">
        <is>
          <t>Fuera del MVP</t>
        </is>
      </c>
      <c r="F82" s="19" t="inlineStr">
        <is>
          <t>Fase 4</t>
        </is>
      </c>
      <c r="G82" s="19" t="inlineStr">
        <is>
          <t>—</t>
        </is>
      </c>
      <c r="H82" s="19" t="inlineStr">
        <is>
          <t>Posterior</t>
        </is>
      </c>
      <c r="I82" s="20" t="inlineStr">
        <is>
          <t>Se define al iniciar la fase.</t>
        </is>
      </c>
      <c r="J82" s="20" t="inlineStr">
        <is>
          <t>Se define al iniciar la fase.</t>
        </is>
      </c>
      <c r="K82" s="19" t="inlineStr">
        <is>
          <t>VoBo pendiente</t>
        </is>
      </c>
      <c r="L82" s="19" t="inlineStr">
        <is>
          <t>Pendiente</t>
        </is>
      </c>
      <c r="M82" s="19" t="inlineStr"/>
      <c r="N82" s="19" t="inlineStr"/>
    </row>
    <row r="83">
      <c r="A83" s="18" t="inlineStr">
        <is>
          <t>M6-01</t>
        </is>
      </c>
      <c r="B83" s="19" t="inlineStr">
        <is>
          <t>M6 Ministerios de servicio</t>
        </is>
      </c>
      <c r="C83" s="19" t="inlineStr">
        <is>
          <t>Control de personal propio de cada ministerio.</t>
        </is>
      </c>
      <c r="D83" s="22" t="inlineStr">
        <is>
          <t>Recuperado v1</t>
        </is>
      </c>
      <c r="E83" s="19" t="inlineStr">
        <is>
          <t>Fuera del MVP</t>
        </is>
      </c>
      <c r="F83" s="19" t="inlineStr">
        <is>
          <t>Fase 4</t>
        </is>
      </c>
      <c r="G83" s="19" t="inlineStr">
        <is>
          <t>—</t>
        </is>
      </c>
      <c r="H83" s="19" t="inlineStr">
        <is>
          <t>Posterior</t>
        </is>
      </c>
      <c r="I83" s="20" t="inlineStr">
        <is>
          <t>Se define al iniciar la fase.</t>
        </is>
      </c>
      <c r="J83" s="20" t="inlineStr">
        <is>
          <t>Se define al iniciar la fase.</t>
        </is>
      </c>
      <c r="K83" s="19" t="inlineStr">
        <is>
          <t>VoBo pendiente</t>
        </is>
      </c>
      <c r="L83" s="19" t="inlineStr">
        <is>
          <t>Pendiente</t>
        </is>
      </c>
      <c r="M83" s="19" t="inlineStr"/>
      <c r="N83" s="19" t="inlineStr"/>
    </row>
    <row r="84">
      <c r="A84" s="18" t="inlineStr">
        <is>
          <t>M6-02</t>
        </is>
      </c>
      <c r="B84" s="19" t="inlineStr">
        <is>
          <t>M6 Ministerios de servicio</t>
        </is>
      </c>
      <c r="C84" s="19" t="inlineStr">
        <is>
          <t>Menú o catálogo digital interactivo (público o interno), autogestionado.</t>
        </is>
      </c>
      <c r="D84" s="19" t="inlineStr">
        <is>
          <t>v1 / v2</t>
        </is>
      </c>
      <c r="E84" s="19" t="inlineStr">
        <is>
          <t>Fuera del MVP</t>
        </is>
      </c>
      <c r="F84" s="19" t="inlineStr">
        <is>
          <t>Fase 4</t>
        </is>
      </c>
      <c r="G84" s="19" t="inlineStr">
        <is>
          <t>—</t>
        </is>
      </c>
      <c r="H84" s="19" t="inlineStr">
        <is>
          <t>Posterior</t>
        </is>
      </c>
      <c r="I84" s="20" t="inlineStr">
        <is>
          <t>Se define al iniciar la fase.</t>
        </is>
      </c>
      <c r="J84" s="20" t="inlineStr">
        <is>
          <t>Se define al iniciar la fase.</t>
        </is>
      </c>
      <c r="K84" s="19" t="inlineStr">
        <is>
          <t>VoBo pendiente</t>
        </is>
      </c>
      <c r="L84" s="19" t="inlineStr">
        <is>
          <t>Pendiente</t>
        </is>
      </c>
      <c r="M84" s="19" t="inlineStr"/>
      <c r="N84" s="19" t="inlineStr"/>
    </row>
    <row r="85">
      <c r="A85" s="18" t="inlineStr">
        <is>
          <t>M6-03</t>
        </is>
      </c>
      <c r="B85" s="19" t="inlineStr">
        <is>
          <t>M6 Ministerios de servicio</t>
        </is>
      </c>
      <c r="C85" s="19" t="inlineStr">
        <is>
          <t>Calendario de turnos: días regulares de servicio y eventos especiales.</t>
        </is>
      </c>
      <c r="D85" s="19" t="inlineStr">
        <is>
          <t>v1 / v2</t>
        </is>
      </c>
      <c r="E85" s="19" t="inlineStr">
        <is>
          <t>Fuera del MVP</t>
        </is>
      </c>
      <c r="F85" s="19" t="inlineStr">
        <is>
          <t>Fase 4</t>
        </is>
      </c>
      <c r="G85" s="19" t="inlineStr">
        <is>
          <t>—</t>
        </is>
      </c>
      <c r="H85" s="19" t="inlineStr">
        <is>
          <t>Posterior</t>
        </is>
      </c>
      <c r="I85" s="20" t="inlineStr">
        <is>
          <t>Se define al iniciar la fase.</t>
        </is>
      </c>
      <c r="J85" s="20" t="inlineStr">
        <is>
          <t>Se define al iniciar la fase.</t>
        </is>
      </c>
      <c r="K85" s="19" t="inlineStr">
        <is>
          <t>VoBo pendiente</t>
        </is>
      </c>
      <c r="L85" s="19" t="inlineStr">
        <is>
          <t>Pendiente</t>
        </is>
      </c>
      <c r="M85" s="19" t="inlineStr"/>
      <c r="N85" s="19" t="inlineStr"/>
    </row>
    <row r="86">
      <c r="A86" s="18" t="inlineStr">
        <is>
          <t>M6-04</t>
        </is>
      </c>
      <c r="B86" s="19" t="inlineStr">
        <is>
          <t>M6 Ministerios de servicio</t>
        </is>
      </c>
      <c r="C86" s="19" t="inlineStr">
        <is>
          <t>Registro de asistentes o personas atendidas.</t>
        </is>
      </c>
      <c r="D86" s="19" t="inlineStr">
        <is>
          <t>v1 / v2</t>
        </is>
      </c>
      <c r="E86" s="19" t="inlineStr">
        <is>
          <t>Fuera del MVP</t>
        </is>
      </c>
      <c r="F86" s="19" t="inlineStr">
        <is>
          <t>Fase 4</t>
        </is>
      </c>
      <c r="G86" s="19" t="inlineStr">
        <is>
          <t>—</t>
        </is>
      </c>
      <c r="H86" s="19" t="inlineStr">
        <is>
          <t>Posterior</t>
        </is>
      </c>
      <c r="I86" s="20" t="inlineStr">
        <is>
          <t>Se define al iniciar la fase.</t>
        </is>
      </c>
      <c r="J86" s="20" t="inlineStr">
        <is>
          <t>Se define al iniciar la fase.</t>
        </is>
      </c>
      <c r="K86" s="19" t="inlineStr">
        <is>
          <t>VoBo pendiente</t>
        </is>
      </c>
      <c r="L86" s="19" t="inlineStr">
        <is>
          <t>Pendiente</t>
        </is>
      </c>
      <c r="M86" s="19" t="inlineStr"/>
      <c r="N86" s="19" t="inlineStr"/>
    </row>
    <row r="87">
      <c r="A87" s="18" t="inlineStr">
        <is>
          <t>M6-05</t>
        </is>
      </c>
      <c r="B87" s="19" t="inlineStr">
        <is>
          <t>M6 Ministerios de servicio</t>
        </is>
      </c>
      <c r="C87" s="19" t="inlineStr">
        <is>
          <t>Control de gastos y de inventario básico.</t>
        </is>
      </c>
      <c r="D87" s="19" t="inlineStr">
        <is>
          <t>v1 / v2</t>
        </is>
      </c>
      <c r="E87" s="19" t="inlineStr">
        <is>
          <t>Fuera del MVP</t>
        </is>
      </c>
      <c r="F87" s="19" t="inlineStr">
        <is>
          <t>Fase 4</t>
        </is>
      </c>
      <c r="G87" s="19" t="inlineStr">
        <is>
          <t>—</t>
        </is>
      </c>
      <c r="H87" s="19" t="inlineStr">
        <is>
          <t>Posterior</t>
        </is>
      </c>
      <c r="I87" s="20" t="inlineStr">
        <is>
          <t>Se define al iniciar la fase.</t>
        </is>
      </c>
      <c r="J87" s="20" t="inlineStr">
        <is>
          <t>Se define al iniciar la fase.</t>
        </is>
      </c>
      <c r="K87" s="19" t="inlineStr">
        <is>
          <t>VoBo pendiente</t>
        </is>
      </c>
      <c r="L87" s="19" t="inlineStr">
        <is>
          <t>Pendiente</t>
        </is>
      </c>
      <c r="M87" s="19" t="inlineStr"/>
      <c r="N87" s="19" t="inlineStr"/>
    </row>
    <row r="88">
      <c r="A88" s="18" t="inlineStr">
        <is>
          <t>M6-06</t>
        </is>
      </c>
      <c r="B88" s="19" t="inlineStr">
        <is>
          <t>M6 Ministerios de servicio</t>
        </is>
      </c>
      <c r="C88" s="19" t="inlineStr">
        <is>
          <t>Canal de comunicación directo con el área de Administración General.</t>
        </is>
      </c>
      <c r="D88" s="19" t="inlineStr">
        <is>
          <t>v1 / v2</t>
        </is>
      </c>
      <c r="E88" s="19" t="inlineStr">
        <is>
          <t>Fuera del MVP</t>
        </is>
      </c>
      <c r="F88" s="19" t="inlineStr">
        <is>
          <t>Fase 4</t>
        </is>
      </c>
      <c r="G88" s="19" t="inlineStr">
        <is>
          <t>—</t>
        </is>
      </c>
      <c r="H88" s="19" t="inlineStr">
        <is>
          <t>Posterior</t>
        </is>
      </c>
      <c r="I88" s="20" t="inlineStr">
        <is>
          <t>Se define al iniciar la fase.</t>
        </is>
      </c>
      <c r="J88" s="20" t="inlineStr">
        <is>
          <t>Se define al iniciar la fase.</t>
        </is>
      </c>
      <c r="K88" s="19" t="inlineStr">
        <is>
          <t>VoBo pendiente</t>
        </is>
      </c>
      <c r="L88" s="19" t="inlineStr">
        <is>
          <t>Pendiente</t>
        </is>
      </c>
      <c r="M88" s="19" t="inlineStr"/>
      <c r="N88" s="19" t="inlineStr"/>
    </row>
    <row r="89">
      <c r="A89" s="18" t="inlineStr">
        <is>
          <t>M6-07</t>
        </is>
      </c>
      <c r="B89" s="19" t="inlineStr">
        <is>
          <t>M6 Ministerios de servicio</t>
        </is>
      </c>
      <c r="C89" s="19" t="inlineStr">
        <is>
          <t>Servicio Médico: los datos de salud de las personas atendidas requieren tratamiento de datos sensibles. Por definir alcance.</t>
        </is>
      </c>
      <c r="D89" s="21" t="inlineStr">
        <is>
          <t>Nuevo v3</t>
        </is>
      </c>
      <c r="E89" s="19" t="inlineStr">
        <is>
          <t>Fuera del MVP</t>
        </is>
      </c>
      <c r="F89" s="19" t="inlineStr">
        <is>
          <t>Fase 4</t>
        </is>
      </c>
      <c r="G89" s="19" t="inlineStr">
        <is>
          <t>—</t>
        </is>
      </c>
      <c r="H89" s="19" t="inlineStr">
        <is>
          <t>Posterior</t>
        </is>
      </c>
      <c r="I89" s="20" t="inlineStr">
        <is>
          <t>Se define al iniciar la fase.</t>
        </is>
      </c>
      <c r="J89" s="20" t="inlineStr">
        <is>
          <t>Se define al iniciar la fase.</t>
        </is>
      </c>
      <c r="K89" s="19" t="inlineStr">
        <is>
          <t>Por definir</t>
        </is>
      </c>
      <c r="L89" s="19" t="inlineStr">
        <is>
          <t>Pendiente</t>
        </is>
      </c>
      <c r="M89" s="19" t="inlineStr"/>
      <c r="N89" s="19" t="inlineStr"/>
    </row>
    <row r="90">
      <c r="A90" s="18" t="inlineStr">
        <is>
          <t>M7-01</t>
        </is>
      </c>
      <c r="B90" s="19" t="inlineStr">
        <is>
          <t>M7 Eventos y aforo</t>
        </is>
      </c>
      <c r="C90" s="19" t="inlineStr">
        <is>
          <t>Eventos abiertos o evangelísticos con formulario de inscripción rápida, sin requerir historial previo.</t>
        </is>
      </c>
      <c r="D90" s="19" t="inlineStr">
        <is>
          <t>v1 / v2</t>
        </is>
      </c>
      <c r="E90" s="19" t="inlineStr">
        <is>
          <t>Fuera del MVP</t>
        </is>
      </c>
      <c r="F90" s="19" t="inlineStr">
        <is>
          <t>Fase 4</t>
        </is>
      </c>
      <c r="G90" s="19" t="inlineStr">
        <is>
          <t>—</t>
        </is>
      </c>
      <c r="H90" s="19" t="inlineStr">
        <is>
          <t>Posterior</t>
        </is>
      </c>
      <c r="I90" s="20" t="inlineStr">
        <is>
          <t>Se define al iniciar la fase.</t>
        </is>
      </c>
      <c r="J90" s="20" t="inlineStr">
        <is>
          <t>Se define al iniciar la fase.</t>
        </is>
      </c>
      <c r="K90" s="19" t="inlineStr">
        <is>
          <t>VoBo pendiente</t>
        </is>
      </c>
      <c r="L90" s="19" t="inlineStr">
        <is>
          <t>Pendiente</t>
        </is>
      </c>
      <c r="M90" s="19" t="inlineStr"/>
      <c r="N90" s="19" t="inlineStr"/>
    </row>
    <row r="91">
      <c r="A91" s="18" t="inlineStr">
        <is>
          <t>M7-02</t>
        </is>
      </c>
      <c r="B91" s="19" t="inlineStr">
        <is>
          <t>M7 Eventos y aforo</t>
        </is>
      </c>
      <c r="C91" s="19" t="inlineStr">
        <is>
          <t>Consolidación (inducción de personas que asisten por primera vez) como tipo de evento.</t>
        </is>
      </c>
      <c r="D91" s="22" t="inlineStr">
        <is>
          <t>Recuperado v1</t>
        </is>
      </c>
      <c r="E91" s="19" t="inlineStr">
        <is>
          <t>Fuera del MVP</t>
        </is>
      </c>
      <c r="F91" s="19" t="inlineStr">
        <is>
          <t>Fase 4</t>
        </is>
      </c>
      <c r="G91" s="19" t="inlineStr">
        <is>
          <t>—</t>
        </is>
      </c>
      <c r="H91" s="19" t="inlineStr">
        <is>
          <t>Posterior</t>
        </is>
      </c>
      <c r="I91" s="20" t="inlineStr">
        <is>
          <t>Se define al iniciar la fase.</t>
        </is>
      </c>
      <c r="J91" s="20" t="inlineStr">
        <is>
          <t>Se define al iniciar la fase.</t>
        </is>
      </c>
      <c r="K91" s="19" t="inlineStr">
        <is>
          <t>VoBo pendiente</t>
        </is>
      </c>
      <c r="L91" s="19" t="inlineStr">
        <is>
          <t>Pendiente</t>
        </is>
      </c>
      <c r="M91" s="19" t="inlineStr"/>
      <c r="N91" s="19" t="inlineStr"/>
    </row>
    <row r="92">
      <c r="A92" s="18" t="inlineStr">
        <is>
          <t>M7-03</t>
        </is>
      </c>
      <c r="B92" s="19" t="inlineStr">
        <is>
          <t>M7 Eventos y aforo</t>
        </is>
      </c>
      <c r="C92" s="19" t="inlineStr">
        <is>
          <t>Encargados de evento (personal de la iglesia únicamente; no se controla personal externo).</t>
        </is>
      </c>
      <c r="D92" s="22" t="inlineStr">
        <is>
          <t>Recuperado v1</t>
        </is>
      </c>
      <c r="E92" s="19" t="inlineStr">
        <is>
          <t>Fuera del MVP</t>
        </is>
      </c>
      <c r="F92" s="19" t="inlineStr">
        <is>
          <t>Fase 4</t>
        </is>
      </c>
      <c r="G92" s="19" t="inlineStr">
        <is>
          <t>—</t>
        </is>
      </c>
      <c r="H92" s="19" t="inlineStr">
        <is>
          <t>Posterior</t>
        </is>
      </c>
      <c r="I92" s="20" t="inlineStr">
        <is>
          <t>Se define al iniciar la fase.</t>
        </is>
      </c>
      <c r="J92" s="20" t="inlineStr">
        <is>
          <t>Se define al iniciar la fase.</t>
        </is>
      </c>
      <c r="K92" s="19" t="inlineStr">
        <is>
          <t>VoBo pendiente</t>
        </is>
      </c>
      <c r="L92" s="19" t="inlineStr">
        <is>
          <t>Pendiente</t>
        </is>
      </c>
      <c r="M92" s="19" t="inlineStr"/>
      <c r="N92" s="19" t="inlineStr"/>
    </row>
    <row r="93">
      <c r="A93" s="18" t="inlineStr">
        <is>
          <t>M7-04</t>
        </is>
      </c>
      <c r="B93" s="19" t="inlineStr">
        <is>
          <t>M7 Eventos y aforo</t>
        </is>
      </c>
      <c r="C93" s="19" t="inlineStr">
        <is>
          <t>Control de cupo en tiempo real que bloquea el sobrecupo en eventos con aforo limitado (ej. 30 o 50 lugares).</t>
        </is>
      </c>
      <c r="D93" s="19" t="inlineStr">
        <is>
          <t>v1 / v2</t>
        </is>
      </c>
      <c r="E93" s="19" t="inlineStr">
        <is>
          <t>Fuera del MVP</t>
        </is>
      </c>
      <c r="F93" s="19" t="inlineStr">
        <is>
          <t>Fase 4</t>
        </is>
      </c>
      <c r="G93" s="19" t="inlineStr">
        <is>
          <t>—</t>
        </is>
      </c>
      <c r="H93" s="19" t="inlineStr">
        <is>
          <t>Posterior</t>
        </is>
      </c>
      <c r="I93" s="20" t="inlineStr">
        <is>
          <t>Se define al iniciar la fase.</t>
        </is>
      </c>
      <c r="J93" s="20" t="inlineStr">
        <is>
          <t>Se define al iniciar la fase.</t>
        </is>
      </c>
      <c r="K93" s="19" t="inlineStr">
        <is>
          <t>VoBo pendiente</t>
        </is>
      </c>
      <c r="L93" s="19" t="inlineStr">
        <is>
          <t>Pendiente</t>
        </is>
      </c>
      <c r="M93" s="19" t="inlineStr"/>
      <c r="N93" s="19" t="inlineStr"/>
    </row>
    <row r="94">
      <c r="A94" s="18" t="inlineStr">
        <is>
          <t>M7-05</t>
        </is>
      </c>
      <c r="B94" s="19" t="inlineStr">
        <is>
          <t>M7 Eventos y aforo</t>
        </is>
      </c>
      <c r="C94" s="19" t="inlineStr">
        <is>
          <t>Control de asistentes sin lista previa, para aforo y para dar a conocer la iglesia.</t>
        </is>
      </c>
      <c r="D94" s="19" t="inlineStr">
        <is>
          <t>v1</t>
        </is>
      </c>
      <c r="E94" s="19" t="inlineStr">
        <is>
          <t>Fuera del MVP</t>
        </is>
      </c>
      <c r="F94" s="19" t="inlineStr">
        <is>
          <t>Fase 4</t>
        </is>
      </c>
      <c r="G94" s="19" t="inlineStr">
        <is>
          <t>—</t>
        </is>
      </c>
      <c r="H94" s="19" t="inlineStr">
        <is>
          <t>Posterior</t>
        </is>
      </c>
      <c r="I94" s="20" t="inlineStr">
        <is>
          <t>Se define al iniciar la fase.</t>
        </is>
      </c>
      <c r="J94" s="20" t="inlineStr">
        <is>
          <t>Se define al iniciar la fase.</t>
        </is>
      </c>
      <c r="K94" s="19" t="inlineStr">
        <is>
          <t>VoBo pendiente</t>
        </is>
      </c>
      <c r="L94" s="19" t="inlineStr">
        <is>
          <t>Pendiente</t>
        </is>
      </c>
      <c r="M94" s="19" t="inlineStr"/>
      <c r="N94" s="19" t="inlineStr"/>
    </row>
    <row r="95">
      <c r="A95" s="18" t="inlineStr">
        <is>
          <t>M7-06</t>
        </is>
      </c>
      <c r="B95" s="19" t="inlineStr">
        <is>
          <t>M7 Eventos y aforo</t>
        </is>
      </c>
      <c r="C95" s="19" t="inlineStr">
        <is>
          <t>Seguimiento de personas nuevas: conversión de un invitado a Expediente Digital y canalización a un curso o Grupo de Conexión.</t>
        </is>
      </c>
      <c r="D95" s="21" t="inlineStr">
        <is>
          <t>Nuevo v3</t>
        </is>
      </c>
      <c r="E95" s="19" t="inlineStr">
        <is>
          <t>Fuera del MVP</t>
        </is>
      </c>
      <c r="F95" s="19" t="inlineStr">
        <is>
          <t>Fase 4</t>
        </is>
      </c>
      <c r="G95" s="19" t="inlineStr">
        <is>
          <t>—</t>
        </is>
      </c>
      <c r="H95" s="19" t="inlineStr">
        <is>
          <t>Posterior</t>
        </is>
      </c>
      <c r="I95" s="20" t="inlineStr">
        <is>
          <t>Se define al iniciar la fase.</t>
        </is>
      </c>
      <c r="J95" s="20" t="inlineStr">
        <is>
          <t>Se define al iniciar la fase.</t>
        </is>
      </c>
      <c r="K95" s="19" t="inlineStr">
        <is>
          <t>VoBo pendiente</t>
        </is>
      </c>
      <c r="L95" s="19" t="inlineStr">
        <is>
          <t>Pendiente</t>
        </is>
      </c>
      <c r="M95" s="19" t="inlineStr"/>
      <c r="N95" s="19" t="inlineStr"/>
    </row>
    <row r="96">
      <c r="A96" s="18" t="inlineStr">
        <is>
          <t>NF-01</t>
        </is>
      </c>
      <c r="B96" s="19" t="inlineStr">
        <is>
          <t>No funcionales</t>
        </is>
      </c>
      <c r="C96" s="19" t="inlineStr">
        <is>
          <t>Cumplimiento de la LFPDPPP: aviso de privacidad, consentimiento y derechos ARCO.</t>
        </is>
      </c>
      <c r="D96" s="19" t="inlineStr">
        <is>
          <t>v3</t>
        </is>
      </c>
      <c r="E96" s="19" t="inlineStr">
        <is>
          <t>MVP</t>
        </is>
      </c>
      <c r="F96" s="19" t="inlineStr">
        <is>
          <t>Fase 0</t>
        </is>
      </c>
      <c r="G96" s="19" t="inlineStr">
        <is>
          <t>Sprint 1</t>
        </is>
      </c>
      <c r="H96" s="19" t="inlineStr">
        <is>
          <t>H1 · 18-oct (núcleo Fase 0)</t>
        </is>
      </c>
      <c r="I96" s="19" t="inlineStr">
        <is>
          <t>Como iglesia queremos cumplir con la LFPDPPP.</t>
        </is>
      </c>
      <c r="J96" s="19" t="inlineStr">
        <is>
          <t>Aviso de privacidad, consentimiento y atención de derechos ARCO disponibles.</t>
        </is>
      </c>
      <c r="K96" s="19" t="inlineStr">
        <is>
          <t>VoBo pendiente</t>
        </is>
      </c>
      <c r="L96" s="19" t="inlineStr">
        <is>
          <t>Pendiente</t>
        </is>
      </c>
      <c r="M96" s="19" t="inlineStr"/>
      <c r="N96" s="19" t="inlineStr"/>
    </row>
    <row r="97">
      <c r="A97" s="18" t="inlineStr">
        <is>
          <t>NF-02</t>
        </is>
      </c>
      <c r="B97" s="19" t="inlineStr">
        <is>
          <t>No funcionales</t>
        </is>
      </c>
      <c r="C97" s="19" t="inlineStr">
        <is>
          <t>Cifrado en tránsito y en reposo. Cifrado adicional a nivel de campo para peticiones de oración.</t>
        </is>
      </c>
      <c r="D97" s="19" t="inlineStr">
        <is>
          <t>v3</t>
        </is>
      </c>
      <c r="E97" s="19" t="inlineStr">
        <is>
          <t>MVP</t>
        </is>
      </c>
      <c r="F97" s="19" t="inlineStr">
        <is>
          <t>Fase 0</t>
        </is>
      </c>
      <c r="G97" s="19" t="inlineStr">
        <is>
          <t>Sprint 0</t>
        </is>
      </c>
      <c r="H97" s="19" t="inlineStr">
        <is>
          <t>H1 · 18-oct (núcleo Fase 0)</t>
        </is>
      </c>
      <c r="I97" s="19" t="inlineStr">
        <is>
          <t>Como iglesia queremos proteger los datos sensibles.</t>
        </is>
      </c>
      <c r="J97" s="19" t="inlineStr">
        <is>
          <t>HTTPS obligatorio y peticiones de oración ilegibles directamente en la base.</t>
        </is>
      </c>
      <c r="K97" s="19" t="inlineStr">
        <is>
          <t>VoBo pendiente</t>
        </is>
      </c>
      <c r="L97" s="19" t="inlineStr">
        <is>
          <t>En pruebas</t>
        </is>
      </c>
      <c r="M97" s="19" t="inlineStr">
        <is>
          <t>Rama feature/m3-peticiones-oracion · 166 pruebas de backend y 32 de frontend pasan; probado contra la base real</t>
        </is>
      </c>
      <c r="N97" s="19" t="inlineStr">
        <is>
          <t>2026-10-24 · Peticiones cifradas a nivel de campo; falta cifrado en reposo de toda la base (proveedor de nube).</t>
        </is>
      </c>
    </row>
    <row r="98">
      <c r="A98" s="18" t="inlineStr">
        <is>
          <t>NF-03</t>
        </is>
      </c>
      <c r="B98" s="19" t="inlineStr">
        <is>
          <t>No funcionales</t>
        </is>
      </c>
      <c r="C98" s="19" t="inlineStr">
        <is>
          <t>Bitácora de auditoría de solo-añadir: quién consultó o modificó expedientes, ofrendas y asistencias.</t>
        </is>
      </c>
      <c r="D98" s="19" t="inlineStr">
        <is>
          <t>v3</t>
        </is>
      </c>
      <c r="E98" s="19" t="inlineStr">
        <is>
          <t>MVP</t>
        </is>
      </c>
      <c r="F98" s="19" t="inlineStr">
        <is>
          <t>Fase 0</t>
        </is>
      </c>
      <c r="G98" s="19" t="inlineStr">
        <is>
          <t>Sprint 1</t>
        </is>
      </c>
      <c r="H98" s="19" t="inlineStr">
        <is>
          <t>H1 · 18-oct (núcleo Fase 0)</t>
        </is>
      </c>
      <c r="I98" s="19" t="inlineStr">
        <is>
          <t>Como pastor quiero una bitácora que nadie pueda alterar.</t>
        </is>
      </c>
      <c r="J98" s="19" t="inlineStr">
        <is>
          <t>El usuario de la aplicación no puede actualizar ni borrar registros de bitácora.</t>
        </is>
      </c>
      <c r="K98" s="19" t="inlineStr">
        <is>
          <t>VoBo pendiente</t>
        </is>
      </c>
      <c r="L98" s="19" t="inlineStr">
        <is>
          <t>En pruebas</t>
        </is>
      </c>
      <c r="M98" s="19" t="inlineStr">
        <is>
          <t>Rama feature/nf-03-bitacora · 69 pruebas de backend pasan</t>
        </is>
      </c>
      <c r="N98" s="19" t="inlineStr">
        <is>
          <t>2026-10-10 · Bloqueo en aplicación y trigger de PostgreSQL (UPDATE/DELETE/TRUNCATE); pantalla de consulta con permiso bitacora.ver.</t>
        </is>
      </c>
    </row>
    <row r="99">
      <c r="A99" s="18" t="inlineStr">
        <is>
          <t>NF-04</t>
        </is>
      </c>
      <c r="B99" s="19" t="inlineStr">
        <is>
          <t>No funcionales</t>
        </is>
      </c>
      <c r="C99" s="19" t="inlineStr">
        <is>
          <t>Respaldos automáticos diarios cifrados y prueba periódica de restauración.</t>
        </is>
      </c>
      <c r="D99" s="19" t="inlineStr">
        <is>
          <t>v3</t>
        </is>
      </c>
      <c r="E99" s="19" t="inlineStr">
        <is>
          <t>MVP</t>
        </is>
      </c>
      <c r="F99" s="19" t="inlineStr">
        <is>
          <t>Fase 0</t>
        </is>
      </c>
      <c r="G99" s="19" t="inlineStr">
        <is>
          <t>Sprint 0</t>
        </is>
      </c>
      <c r="H99" s="19" t="inlineStr">
        <is>
          <t>H1 · 18-oct (núcleo Fase 0)</t>
        </is>
      </c>
      <c r="I99" s="19" t="inlineStr">
        <is>
          <t>Como iglesia queremos no perder información.</t>
        </is>
      </c>
      <c r="J99" s="19" t="inlineStr">
        <is>
          <t>Respaldo diario cifrado y restauración probada en un ambiente de pruebas.</t>
        </is>
      </c>
      <c r="K99" s="19" t="inlineStr">
        <is>
          <t>VoBo pendiente</t>
        </is>
      </c>
      <c r="L99" s="19" t="inlineStr">
        <is>
          <t>Pendiente</t>
        </is>
      </c>
      <c r="M99" s="19" t="inlineStr"/>
      <c r="N99" s="19" t="inlineStr"/>
    </row>
    <row r="100">
      <c r="A100" s="18" t="inlineStr">
        <is>
          <t>NF-05</t>
        </is>
      </c>
      <c r="B100" s="19" t="inlineStr">
        <is>
          <t>No funcionales</t>
        </is>
      </c>
      <c r="C100" s="19" t="inlineStr">
        <is>
          <t>Disponibilidad esperada en horarios de servicio (fines de semana y reuniones de grupo). Por definir meta.</t>
        </is>
      </c>
      <c r="D100" s="21" t="inlineStr">
        <is>
          <t>Nuevo v3</t>
        </is>
      </c>
      <c r="E100" s="19" t="inlineStr">
        <is>
          <t>Fuera del MVP</t>
        </is>
      </c>
      <c r="F100" s="19" t="inlineStr">
        <is>
          <t>Transversal</t>
        </is>
      </c>
      <c r="G100" s="19" t="inlineStr">
        <is>
          <t>—</t>
        </is>
      </c>
      <c r="H100" s="19" t="inlineStr">
        <is>
          <t>Posterior</t>
        </is>
      </c>
      <c r="I100" s="20" t="inlineStr">
        <is>
          <t>Se define al iniciar la fase.</t>
        </is>
      </c>
      <c r="J100" s="20" t="inlineStr">
        <is>
          <t>Se define al iniciar la fase.</t>
        </is>
      </c>
      <c r="K100" s="19" t="inlineStr">
        <is>
          <t>Por definir</t>
        </is>
      </c>
      <c r="L100" s="19" t="inlineStr">
        <is>
          <t>Pendiente</t>
        </is>
      </c>
      <c r="M100" s="19" t="inlineStr"/>
      <c r="N100" s="19" t="inlineStr"/>
    </row>
    <row r="101">
      <c r="A101" s="18" t="inlineStr">
        <is>
          <t>NF-06</t>
        </is>
      </c>
      <c r="B101" s="19" t="inlineStr">
        <is>
          <t>No funcionales</t>
        </is>
      </c>
      <c r="C101" s="19" t="inlineStr">
        <is>
          <t>Pase de lista sin conexión con sincronización posterior (reuniones en domicilios con mala señal).</t>
        </is>
      </c>
      <c r="D101" s="19" t="inlineStr">
        <is>
          <t>v3</t>
        </is>
      </c>
      <c r="E101" s="19" t="inlineStr">
        <is>
          <t>MVP</t>
        </is>
      </c>
      <c r="F101" s="19" t="inlineStr">
        <is>
          <t>Fase 0</t>
        </is>
      </c>
      <c r="G101" s="19" t="inlineStr">
        <is>
          <t>Sprint 3</t>
        </is>
      </c>
      <c r="H101" s="19" t="inlineStr">
        <is>
          <t>H3 · MVP (Grupos)</t>
        </is>
      </c>
      <c r="I101" s="19" t="inlineStr">
        <is>
          <t>Como secretario quiero que el pase de lista funcione sin señal.</t>
        </is>
      </c>
      <c r="J101" s="19" t="inlineStr">
        <is>
          <t>Prueba en modo avión y sincronización al reconectar.</t>
        </is>
      </c>
      <c r="K101" s="19" t="inlineStr">
        <is>
          <t>VoBo pendiente</t>
        </is>
      </c>
      <c r="L101" s="19" t="inlineStr">
        <is>
          <t>En pruebas</t>
        </is>
      </c>
      <c r="M101" s="19" t="inlineStr">
        <is>
          <t>Rama feature/nf-06-sin-conexion · 117 pruebas de backend y 27 de frontend; probado en Chrome real con service worker</t>
        </is>
      </c>
      <c r="N101" s="19" t="inlineStr">
        <is>
          <t>2026-10-24 · Probado de punta a punta en Chrome (sin red → cola → sincronización). Pendiente probar en Android e iOS reales.</t>
        </is>
      </c>
    </row>
    <row r="102">
      <c r="A102" s="18" t="inlineStr">
        <is>
          <t>NF-07</t>
        </is>
      </c>
      <c r="B102" s="19" t="inlineStr">
        <is>
          <t>No funcionales</t>
        </is>
      </c>
      <c r="C102" s="19" t="inlineStr">
        <is>
          <t>Funciona en Android, iOS y escritorio. En iOS, las notificaciones push requieren instalar la PWA; el respaldo por WhatsApp cubre el resto.</t>
        </is>
      </c>
      <c r="D102" s="19" t="inlineStr">
        <is>
          <t>v3</t>
        </is>
      </c>
      <c r="E102" s="19" t="inlineStr">
        <is>
          <t>MVP</t>
        </is>
      </c>
      <c r="F102" s="19" t="inlineStr">
        <is>
          <t>Fase 0</t>
        </is>
      </c>
      <c r="G102" s="19" t="inlineStr">
        <is>
          <t>Sprint 0</t>
        </is>
      </c>
      <c r="H102" s="19" t="inlineStr">
        <is>
          <t>H1 · 18-oct (núcleo Fase 0)</t>
        </is>
      </c>
      <c r="I102" s="19" t="inlineStr">
        <is>
          <t>Como usuario quiero usar el sistema en mi dispositivo.</t>
        </is>
      </c>
      <c r="J102" s="19" t="inlineStr">
        <is>
          <t>Pruebas en Android, iOS y escritorio; push en iOS con la PWA instalada y respaldo por WhatsApp.</t>
        </is>
      </c>
      <c r="K102" s="19" t="inlineStr">
        <is>
          <t>VoBo pendiente</t>
        </is>
      </c>
      <c r="L102" s="19" t="inlineStr">
        <is>
          <t>Pendiente</t>
        </is>
      </c>
      <c r="M102" s="19" t="inlineStr"/>
      <c r="N102" s="19" t="inlineStr"/>
    </row>
    <row r="103">
      <c r="A103" s="18" t="inlineStr">
        <is>
          <t>NF-08</t>
        </is>
      </c>
      <c r="B103" s="19" t="inlineStr">
        <is>
          <t>No funcionales</t>
        </is>
      </c>
      <c r="C103" s="19" t="inlineStr">
        <is>
          <t>Dimensionamiento para ~1,000 personas, con picos los fines de semana, y margen de crecimiento.</t>
        </is>
      </c>
      <c r="D103" s="21" t="inlineStr">
        <is>
          <t>Resp. P8</t>
        </is>
      </c>
      <c r="E103" s="19" t="inlineStr">
        <is>
          <t>MVP</t>
        </is>
      </c>
      <c r="F103" s="19" t="inlineStr">
        <is>
          <t>Fase 0</t>
        </is>
      </c>
      <c r="G103" s="19" t="inlineStr">
        <is>
          <t>Sprint 0</t>
        </is>
      </c>
      <c r="H103" s="19" t="inlineStr">
        <is>
          <t>H1 · 18-oct (núcleo Fase 0)</t>
        </is>
      </c>
      <c r="I103" s="19" t="inlineStr">
        <is>
          <t>Como iglesia queremos que el sistema soporte a ~1,000 personas.</t>
        </is>
      </c>
      <c r="J103" s="19" t="inlineStr">
        <is>
          <t>Prueba de carga con volumen representativo (por definir) sin degradación.</t>
        </is>
      </c>
      <c r="K103" s="19" t="inlineStr">
        <is>
          <t>VoBo pendiente</t>
        </is>
      </c>
      <c r="L103" s="19" t="inlineStr">
        <is>
          <t>Pendiente</t>
        </is>
      </c>
      <c r="M103" s="19" t="inlineStr"/>
      <c r="N103" s="19" t="inlineStr"/>
    </row>
    <row r="104">
      <c r="A104" s="18" t="inlineStr">
        <is>
          <t>NF-09</t>
        </is>
      </c>
      <c r="B104" s="19" t="inlineStr">
        <is>
          <t>No funcionales</t>
        </is>
      </c>
      <c r="C104" s="19" t="inlineStr">
        <is>
          <t>Reportes transversales: asistencia, finanzas, crecimiento de la iglesia, exportables a Excel y PDF.</t>
        </is>
      </c>
      <c r="D104" s="21" t="inlineStr">
        <is>
          <t>Nuevo v3</t>
        </is>
      </c>
      <c r="E104" s="19" t="inlineStr">
        <is>
          <t>Fuera del MVP</t>
        </is>
      </c>
      <c r="F104" s="19" t="inlineStr">
        <is>
          <t>Transversal</t>
        </is>
      </c>
      <c r="G104" s="19" t="inlineStr">
        <is>
          <t>—</t>
        </is>
      </c>
      <c r="H104" s="19" t="inlineStr">
        <is>
          <t>Posterior</t>
        </is>
      </c>
      <c r="I104" s="20" t="inlineStr">
        <is>
          <t>Se define al iniciar la fase.</t>
        </is>
      </c>
      <c r="J104" s="20" t="inlineStr">
        <is>
          <t>Se define al iniciar la fase.</t>
        </is>
      </c>
      <c r="K104" s="19" t="inlineStr">
        <is>
          <t>VoBo pendiente</t>
        </is>
      </c>
      <c r="L104" s="19" t="inlineStr">
        <is>
          <t>Pendiente</t>
        </is>
      </c>
      <c r="M104" s="19" t="inlineStr"/>
      <c r="N104" s="19" t="inlineStr"/>
    </row>
    <row r="105">
      <c r="A105" s="18" t="inlineStr">
        <is>
          <t>NF-10</t>
        </is>
      </c>
      <c r="B105" s="19" t="inlineStr">
        <is>
          <t>No funcionales</t>
        </is>
      </c>
      <c r="C105" s="19" t="inlineStr">
        <is>
          <t>Usabilidad para personas mayores: tipografía grande, alto contraste, flujos cortos (ver sección 5).</t>
        </is>
      </c>
      <c r="D105" s="19" t="inlineStr">
        <is>
          <t>v3 + Obs. 1</t>
        </is>
      </c>
      <c r="E105" s="19" t="inlineStr">
        <is>
          <t>MVP</t>
        </is>
      </c>
      <c r="F105" s="19" t="inlineStr">
        <is>
          <t>Fase 0</t>
        </is>
      </c>
      <c r="G105" s="19" t="inlineStr">
        <is>
          <t>Sprint 0</t>
        </is>
      </c>
      <c r="H105" s="19" t="inlineStr">
        <is>
          <t>H1 · 18-oct (núcleo Fase 0)</t>
        </is>
      </c>
      <c r="I105" s="19" t="inlineStr">
        <is>
          <t>Como persona mayor quiero una interfaz fácil de leer y usar.</t>
        </is>
      </c>
      <c r="J105" s="19" t="inlineStr">
        <is>
          <t>Texto base 18 px, botones de al menos 48 px, contraste AA; prueba con usuarios mayores.</t>
        </is>
      </c>
      <c r="K105" s="19" t="inlineStr">
        <is>
          <t>VoBo pendiente</t>
        </is>
      </c>
      <c r="L105" s="19" t="inlineStr">
        <is>
          <t>Pendiente</t>
        </is>
      </c>
      <c r="M105" s="19" t="inlineStr"/>
      <c r="N105" s="19" t="inlineStr"/>
    </row>
  </sheetData>
  <autoFilter ref="A1:N105"/>
  <conditionalFormatting sqref="L2:L105">
    <cfRule type="expression" priority="1" dxfId="0">
      <formula>$L2="Hecho"</formula>
    </cfRule>
    <cfRule type="expression" priority="2" dxfId="1">
      <formula>$L2="En pruebas"</formula>
    </cfRule>
    <cfRule type="expression" priority="3" dxfId="2">
      <formula>$L2="En desarrollo"</formula>
    </cfRule>
    <cfRule type="expression" priority="4" dxfId="3">
      <formula>$L2="En diseño"</formula>
    </cfRule>
    <cfRule type="expression" priority="5" dxfId="4">
      <formula>$L2="Bloqueado"</formula>
    </cfRule>
  </conditionalFormatting>
  <conditionalFormatting sqref="K2:K105">
    <cfRule type="expression" priority="6" dxfId="0">
      <formula>$K2="Aprobado"</formula>
    </cfRule>
    <cfRule type="expression" priority="7" dxfId="4">
      <formula>$K2="Por definir"</formula>
    </cfRule>
  </conditionalFormatting>
  <conditionalFormatting sqref="H2:H105">
    <cfRule type="expression" priority="8" dxfId="5">
      <formula>LEFT($H2,2)="H1"</formula>
    </cfRule>
  </conditionalFormatting>
  <dataValidations count="2">
    <dataValidation sqref="L2:L105" showDropDown="0" showInputMessage="0" showErrorMessage="0" allowBlank="0" type="list">
      <formula1>"Pendiente,En diseño,En desarrollo,En pruebas,Hecho,Bloqueado"</formula1>
    </dataValidation>
    <dataValidation sqref="K2:K105" showDropDown="0" showInputMessage="0" showErrorMessage="0" allowBlank="0" type="list">
      <formula1>"VoBo pendiente,Aprobado,Por definir,Rechazado"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30" customWidth="1" min="3" max="3"/>
    <col width="52" customWidth="1" min="4" max="4"/>
    <col width="30" customWidth="1" min="5" max="5"/>
  </cols>
  <sheetData>
    <row r="1">
      <c r="A1" s="23" t="inlineStr">
        <is>
          <t>Obs.</t>
        </is>
      </c>
      <c r="B1" s="23" t="inlineStr">
        <is>
          <t>Resumen de la observación</t>
        </is>
      </c>
      <c r="C1" s="23" t="inlineStr">
        <is>
          <t>Requerimientos</t>
        </is>
      </c>
      <c r="D1" s="23" t="inlineStr">
        <is>
          <t>Resolución</t>
        </is>
      </c>
      <c r="E1" s="23" t="inlineStr">
        <is>
          <t>Estado</t>
        </is>
      </c>
    </row>
    <row r="2">
      <c r="A2" s="18" t="inlineStr">
        <is>
          <t>1</t>
        </is>
      </c>
      <c r="B2" s="24" t="inlineStr">
        <is>
          <t>¿PWA o nativa? Considerar permisos, costos y usuarios mayores.</t>
        </is>
      </c>
      <c r="C2" s="24" t="inlineStr">
        <is>
          <t>NF-07, NF-10</t>
        </is>
      </c>
      <c r="D2" s="24" t="inlineStr">
        <is>
          <t>PWA primero; lógica separada para envolver como app nativa si se justifica.</t>
        </is>
      </c>
      <c r="E2" s="24" t="inlineStr">
        <is>
          <t>Decidido</t>
        </is>
      </c>
    </row>
    <row r="3">
      <c r="A3" s="18" t="inlineStr">
        <is>
          <t>2</t>
        </is>
      </c>
      <c r="B3" s="24" t="inlineStr">
        <is>
          <t>Diseñador dinámico con relaciones para reportes y estadísticas.</t>
        </is>
      </c>
      <c r="C3" s="24" t="inlineStr">
        <is>
          <t>CFG-06, CFG-07, CFG-08</t>
        </is>
      </c>
      <c r="D3" s="24" t="inlineStr">
        <is>
          <t>Modelo híbrido: tablas fijas + campos personalizados + campos de relación.</t>
        </is>
      </c>
      <c r="E3" s="24" t="inlineStr">
        <is>
          <t>En MVP (Sprint 2)</t>
        </is>
      </c>
    </row>
    <row r="4">
      <c r="A4" s="18" t="inlineStr">
        <is>
          <t>3</t>
        </is>
      </c>
      <c r="B4" s="24" t="inlineStr">
        <is>
          <t>Distinguir si el inscrito es de la iglesia local; pedir WhatsApp.</t>
        </is>
      </c>
      <c r="C4" s="24" t="inlineStr">
        <is>
          <t>M1-12, M1-13</t>
        </is>
      </c>
      <c r="D4" s="24" t="inlineStr">
        <is>
          <t>Tres niveles de registro y atributo de procedencia. Su uso en cursos llega en Fase 3.</t>
        </is>
      </c>
      <c r="E4" s="24" t="inlineStr">
        <is>
          <t>En MVP (Sprint 1)</t>
        </is>
      </c>
    </row>
    <row r="5">
      <c r="A5" s="18" t="inlineStr">
        <is>
          <t>4</t>
        </is>
      </c>
      <c r="B5" s="24" t="inlineStr">
        <is>
          <t>Tesorero con firma que avala la cifra.</t>
        </is>
      </c>
      <c r="C5" s="24" t="inlineStr">
        <is>
          <t>M3-01, M3-04</t>
        </is>
      </c>
      <c r="D5" s="24" t="inlineStr">
        <is>
          <t>Rol Tesorero y aval electrónico simple con diferencia registrada.</t>
        </is>
      </c>
      <c r="E5" s="24" t="inlineStr">
        <is>
          <t>En MVP (Sprint 4)</t>
        </is>
      </c>
    </row>
    <row r="6">
      <c r="A6" s="18" t="inlineStr">
        <is>
          <t>5</t>
        </is>
      </c>
      <c r="B6" s="24" t="inlineStr">
        <is>
          <t>Confidencialidad de ofrendas y asistencias, con bitácora.</t>
        </is>
      </c>
      <c r="C6" s="24" t="inlineStr">
        <is>
          <t>M1-16, M3-10</t>
        </is>
      </c>
      <c r="D6" s="24" t="inlineStr">
        <is>
          <t>Matriz de confidencialidad aprobada (v3.2, sección 3.3).</t>
        </is>
      </c>
      <c r="E6" s="24" t="inlineStr">
        <is>
          <t>En MVP (Sprint 1 y 4)</t>
        </is>
      </c>
    </row>
    <row r="7">
      <c r="A7" s="18" t="inlineStr">
        <is>
          <t>6</t>
        </is>
      </c>
      <c r="B7" s="24" t="inlineStr">
        <is>
          <t>Alternativa a M4-05: check-out sin teléfono.</t>
        </is>
      </c>
      <c r="C7" s="24" t="inlineStr">
        <is>
          <t>M4-05</t>
        </is>
      </c>
      <c r="D7" s="24" t="inlineStr">
        <is>
          <t>Validación por el servidor del salón con fotos y bitácora.</t>
        </is>
      </c>
      <c r="E7" s="24" t="inlineStr">
        <is>
          <t>Fase 2</t>
        </is>
      </c>
    </row>
    <row r="8">
      <c r="A8" s="18" t="inlineStr">
        <is>
          <t>7</t>
        </is>
      </c>
      <c r="B8" s="24" t="inlineStr">
        <is>
          <t>Dashboard y tablero de mensajes por módulo (se omiten los «roles de servir»).</t>
        </is>
      </c>
      <c r="C8" s="24" t="inlineStr">
        <is>
          <t>M1-19, M3-11</t>
        </is>
      </c>
      <c r="D8" s="24" t="inlineStr">
        <is>
          <t>Componente genérico reutilizable.</t>
        </is>
      </c>
      <c r="E8" s="24" t="inlineStr">
        <is>
          <t>En MVP (Sprint 5)</t>
        </is>
      </c>
    </row>
    <row r="9">
      <c r="A9" s="18" t="inlineStr">
        <is>
          <t>8</t>
        </is>
      </c>
      <c r="B9" s="24" t="inlineStr">
        <is>
          <t>Datos de salud en el EDU y medicamentos con caducidad.</t>
        </is>
      </c>
      <c r="C9" s="24" t="inlineStr">
        <is>
          <t>M6-07 y ficha de salud</t>
        </is>
      </c>
      <c r="D9" s="24" t="inlineStr">
        <is>
          <t>Fuera del MVP; el modelo del EDU se prepara para admitirlos.</t>
        </is>
      </c>
      <c r="E9" s="24" t="inlineStr">
        <is>
          <t>Posterior</t>
        </is>
      </c>
    </row>
    <row r="10">
      <c r="A10" s="18" t="inlineStr">
        <is>
          <t>9</t>
        </is>
      </c>
      <c r="B10" s="24" t="inlineStr">
        <is>
          <t>Registro breve y seguimiento de personas nuevas.</t>
        </is>
      </c>
      <c r="C10" s="24" t="inlineStr">
        <is>
          <t>M1-12, M1-18, M3-09</t>
        </is>
      </c>
      <c r="D10" s="24" t="inlineStr">
        <is>
          <t>Contacto con WhatsApp, responsable y estados.</t>
        </is>
      </c>
      <c r="E10" s="24" t="inlineStr">
        <is>
          <t>En MVP (Sprint 1 y 2)</t>
        </is>
      </c>
    </row>
    <row r="11">
      <c r="A11" s="18" t="inlineStr">
        <is>
          <t>10</t>
        </is>
      </c>
      <c r="B11" s="24" t="inlineStr">
        <is>
          <t>Reserva de lugares y sobrecupo autorizado en eventos.</t>
        </is>
      </c>
      <c r="C11" s="24" t="inlineStr">
        <is>
          <t>M7-04</t>
        </is>
      </c>
      <c r="D11" s="24" t="inlineStr">
        <is>
          <t>Reserva por cantidad y sobrecupo con autorización y bitácora.</t>
        </is>
      </c>
      <c r="E11" s="24" t="inlineStr">
        <is>
          <t>Fase 4</t>
        </is>
      </c>
    </row>
    <row r="12">
      <c r="A12" s="18" t="inlineStr">
        <is>
          <t>P8-1</t>
        </is>
      </c>
      <c r="B12" s="24" t="inlineStr">
        <is>
          <t>Respuestas: Ancianos como Pastor, con limitantes en finanzas.</t>
        </is>
      </c>
      <c r="C12" s="24" t="inlineStr">
        <is>
          <t>M1-07</t>
        </is>
      </c>
      <c r="D12" s="24" t="inlineStr">
        <is>
          <t>Incorporado en RBAC y en la matriz de confidencialidad.</t>
        </is>
      </c>
      <c r="E12" s="24" t="inlineStr">
        <is>
          <t>En MVP (Sprint 1)</t>
        </is>
      </c>
    </row>
    <row r="13">
      <c r="A13" s="18" t="inlineStr">
        <is>
          <t>P8-2</t>
        </is>
      </c>
      <c r="B13" s="24" t="inlineStr">
        <is>
          <t>Respuestas: avisos no públicos; el visitante entra por enlace de WhatsApp.</t>
        </is>
      </c>
      <c r="C13" s="24" t="inlineStr">
        <is>
          <t>M1-10</t>
        </is>
      </c>
      <c r="D13" s="24" t="inlineStr">
        <is>
          <t>Rol Visitante con acceso reducido.</t>
        </is>
      </c>
      <c r="E13" s="24" t="inlineStr">
        <is>
          <t>En MVP (Sprint 2)</t>
        </is>
      </c>
    </row>
    <row r="14">
      <c r="A14" s="18" t="inlineStr">
        <is>
          <t>P8-3</t>
        </is>
      </c>
      <c r="B14" s="24" t="inlineStr">
        <is>
          <t>Respuestas: de quien deja la iglesia solo se conserva fecha y motivo.</t>
        </is>
      </c>
      <c r="C14" s="24" t="inlineStr">
        <is>
          <t>M1-14</t>
        </is>
      </c>
      <c r="D14" s="24" t="inlineStr">
        <is>
          <t>Historial de movimientos del EDU.</t>
        </is>
      </c>
      <c r="E14" s="24" t="inlineStr">
        <is>
          <t>En MVP (Sprint 1)</t>
        </is>
      </c>
    </row>
    <row r="15">
      <c r="A15" s="18" t="inlineStr">
        <is>
          <t>P8-4</t>
        </is>
      </c>
      <c r="B15" s="24" t="inlineStr">
        <is>
          <t>Respuestas: peticiones de oración, retención de 1 mes o configurable.</t>
        </is>
      </c>
      <c r="C15" s="24" t="inlineStr">
        <is>
          <t>M3-06</t>
        </is>
      </c>
      <c r="D15" s="24" t="inlineStr">
        <is>
          <t>Borrado automático configurable (30 días por defecto).</t>
        </is>
      </c>
      <c r="E15" s="24" t="inlineStr">
        <is>
          <t>En MVP (Sprint 4)</t>
        </is>
      </c>
    </row>
    <row r="16">
      <c r="A16" s="18" t="inlineStr">
        <is>
          <t>P8-5</t>
        </is>
      </c>
      <c r="B16" s="24" t="inlineStr">
        <is>
          <t>Respuestas: pagos de cursos en efectivo o transferencia, sin comprobante.</t>
        </is>
      </c>
      <c r="C16" s="24" t="inlineStr">
        <is>
          <t>M2A-07</t>
        </is>
      </c>
      <c r="D16" s="24" t="inlineStr">
        <is>
          <t>Registro manual, sin pasarela ni facturación.</t>
        </is>
      </c>
      <c r="E16" s="24" t="inlineStr">
        <is>
          <t>Fase 3</t>
        </is>
      </c>
    </row>
    <row r="17">
      <c r="A17" s="18" t="inlineStr">
        <is>
          <t>P8-6</t>
        </is>
      </c>
      <c r="B17" s="24" t="inlineStr">
        <is>
          <t>Respuestas: canal de respaldo WhatsApp y SMS, lo más barato.</t>
        </is>
      </c>
      <c r="C17" s="24" t="inlineStr">
        <is>
          <t>M1-06, M1-17</t>
        </is>
      </c>
      <c r="D17" s="24" t="inlineStr">
        <is>
          <t>Enlaces de WhatsApp gratuitos y SMS solo para recuperar el PIN.</t>
        </is>
      </c>
      <c r="E17" s="24" t="inlineStr">
        <is>
          <t>En MVP (Sprint 0)</t>
        </is>
      </c>
    </row>
    <row r="18">
      <c r="A18" s="18" t="inlineStr">
        <is>
          <t>P8-7</t>
        </is>
      </c>
      <c r="B18" s="24" t="inlineStr">
        <is>
          <t>Respuestas: boleta y diploma se difieren.</t>
        </is>
      </c>
      <c r="C18" s="24" t="inlineStr">
        <is>
          <t>M2B-05, M2A-11</t>
        </is>
      </c>
      <c r="D18" s="24" t="inlineStr">
        <is>
          <t>Fase 3.</t>
        </is>
      </c>
      <c r="E18" s="24" t="inlineStr">
        <is>
          <t>Posterior</t>
        </is>
      </c>
    </row>
    <row r="19">
      <c r="A19" s="18" t="inlineStr">
        <is>
          <t>v3.1</t>
        </is>
      </c>
      <c r="B19" s="24" t="inlineStr">
        <is>
          <t>Corrección: asistentes de grupo son miembros o invitados.</t>
        </is>
      </c>
      <c r="C19" s="24" t="inlineStr">
        <is>
          <t>M3-09, M1-13</t>
        </is>
      </c>
      <c r="D19" s="24" t="inlineStr">
        <is>
          <t>Contacto para invitados del grupo.</t>
        </is>
      </c>
      <c r="E19" s="24" t="inlineStr">
        <is>
          <t>Incorporado en v3.2</t>
        </is>
      </c>
    </row>
    <row r="20">
      <c r="A20" s="18" t="inlineStr">
        <is>
          <t>P1-01</t>
        </is>
      </c>
      <c r="B20" s="24" t="inlineStr">
        <is>
          <t>Pruebas 1: «Cerrar sesión» no hace nada.</t>
        </is>
      </c>
      <c r="C20" s="24" t="inlineStr">
        <is>
          <t>M1-17</t>
        </is>
      </c>
      <c r="D20" s="24" t="inlineStr">
        <is>
          <t>La baja del dispositivo de notificaciones podía quedar esperando sin límite; ahora tiene un tope de 2 s.</t>
        </is>
      </c>
      <c r="E20" s="24" t="inlineStr">
        <is>
          <t>Corregido (v3.14)</t>
        </is>
      </c>
    </row>
    <row r="21">
      <c r="A21" s="18" t="inlineStr">
        <is>
          <t>P1-02</t>
        </is>
      </c>
      <c r="B21" s="24" t="inlineStr">
        <is>
          <t>Pruebas 1: en el menú solo se veía el ícono de Inicio.</t>
        </is>
      </c>
      <c r="C21" s="24" t="inlineStr">
        <is>
          <t>M1-19</t>
        </is>
      </c>
      <c r="D21" s="24" t="inlineStr">
        <is>
          <t>Los ítems de módulo dibujaban un cuadro vacío; ahora muestran su ícono en una pastilla del color del módulo.</t>
        </is>
      </c>
      <c r="E21" s="24" t="inlineStr">
        <is>
          <t>Corregido (v3.14)</t>
        </is>
      </c>
    </row>
    <row r="22">
      <c r="A22" s="18" t="inlineStr">
        <is>
          <t>P1-03</t>
        </is>
      </c>
      <c r="B22" s="24" t="inlineStr">
        <is>
          <t>Pruebas 1: cómo reiniciar el contador tras «Demasiados intentos».</t>
        </is>
      </c>
      <c r="C22" s="24" t="inlineStr">
        <is>
          <t>M1-17, M1-07</t>
        </is>
      </c>
      <c r="D22" s="24" t="inlineStr">
        <is>
          <t>Pantalla Invitar &gt; Accesos: Desbloquear y Reiniciar acceso, limitado a las personas del alcance de quien lo hace; queda en bitácora.</t>
        </is>
      </c>
      <c r="E22" s="24" t="inlineStr">
        <is>
          <t>Corregido (v3.14)</t>
        </is>
      </c>
    </row>
    <row r="23">
      <c r="A23" s="18" t="inlineStr">
        <is>
          <t>P1-04</t>
        </is>
      </c>
      <c r="B23" s="24" t="inlineStr">
        <is>
          <t>Pruebas 1: pasar lista con X o palomita.</t>
        </is>
      </c>
      <c r="C23" s="24" t="inlineStr">
        <is>
          <t>M3-03</t>
        </is>
      </c>
      <c r="D23" s="24" t="inlineStr">
        <is>
          <t>Fila completa tocable con palomita y estado visible.</t>
        </is>
      </c>
      <c r="E23" s="24" t="inlineStr">
        <is>
          <t>Corregido (v3.14)</t>
        </is>
      </c>
    </row>
    <row r="24">
      <c r="A24" s="18" t="inlineStr">
        <is>
          <t>P1-05</t>
        </is>
      </c>
      <c r="B24" s="24" t="inlineStr">
        <is>
          <t>Pruebas 1: menú con categorías, barra superior con Ocultar menú y Cerrar sesión, inicio como dashboard, tema de color, tablas en Personas y Roles, botón Volver.</t>
        </is>
      </c>
      <c r="C24" s="24" t="inlineStr">
        <is>
          <t>M1-19, M1-07</t>
        </is>
      </c>
      <c r="D24" s="24" t="inlineStr">
        <is>
          <t>Barra superior, menú por categorías, Inicio como dashboard, cinco paletas de color, tablas en Personas y Roles con «Volver al listado». Pendiente: transición animada del menú.</t>
        </is>
      </c>
      <c r="E24" s="24" t="inlineStr">
        <is>
          <t>Hecho (v3.15)</t>
        </is>
      </c>
    </row>
    <row r="25">
      <c r="A25" s="18" t="inlineStr">
        <is>
          <t>P1-06</t>
        </is>
      </c>
      <c r="B25" s="24" t="inlineStr">
        <is>
          <t>Pruebas 1: bitácora con paginación, filtros, semáforo y gráfica de errores.</t>
        </is>
      </c>
      <c r="C25" s="24" t="inlineStr">
        <is>
          <t>M1-16</t>
        </is>
      </c>
      <c r="D25" s="24" t="inlineStr">
        <is>
          <t>Paginación, filtros por tipo, nivel, persona y fechas, semáforo y gráfica de errores y avisos por día.</t>
        </is>
      </c>
      <c r="E25" s="24" t="inlineStr">
        <is>
          <t>Hecho (v3.15)</t>
        </is>
      </c>
    </row>
    <row r="26">
      <c r="A26" s="18" t="inlineStr">
        <is>
          <t>P1-07</t>
        </is>
      </c>
      <c r="B26" s="24" t="inlineStr">
        <is>
          <t>Pruebas 1: grupos por sector (ej. Sector K, Casa 6), filtros, editar integrantes, suspender grupo, agrupar por día de reunión.</t>
        </is>
      </c>
      <c r="C26" s="24" t="inlineStr">
        <is>
          <t>M3-01, M3-12</t>
        </is>
      </c>
      <c r="D26" s="24" t="inlineStr">
        <is>
          <t>Sector (letra) y casa (número), filtros, cambio de rol de integrantes, suspensión con motivo y bitácora, y reuniones con lo ocurrido cada día. Pendiente: nada de este hallazgo.</t>
        </is>
      </c>
      <c r="E26" s="24" t="inlineStr">
        <is>
          <t>Hecho (v3.16)</t>
        </is>
      </c>
    </row>
    <row r="27">
      <c r="A27" s="18" t="inlineStr">
        <is>
          <t>P1-08</t>
        </is>
      </c>
      <c r="B27" s="24" t="inlineStr">
        <is>
          <t>Pruebas 1: personas con baja, traslado a otra iglesia, roles visibles y filtros eclesiásticos.</t>
        </is>
      </c>
      <c r="C27" s="24" t="inlineStr">
        <is>
          <t>M1-14, M1-13</t>
        </is>
      </c>
      <c r="D27" s="24" t="inlineStr">
        <is>
          <t>Traslado a otra iglesia, baja que saca de los grupos, situación al inicio de la ficha, niveles explicados, grupos y filtros por grupo y rol. Pendiente: filtros por cursos (módulo de Cursos).</t>
        </is>
      </c>
      <c r="E27" s="24" t="inlineStr">
        <is>
          <t>Hecho (v3.17)</t>
        </is>
      </c>
    </row>
    <row r="28">
      <c r="A28" s="18" t="inlineStr">
        <is>
          <t>P1-09</t>
        </is>
      </c>
      <c r="B28" s="24" t="inlineStr">
        <is>
          <t>Pruebas 1: invitar por QR o enlace; el líder aprueba el acceso (como Teams); asignación manual con aviso; rol por defecto.</t>
        </is>
      </c>
      <c r="C28" s="24" t="inlineStr">
        <is>
          <t>M1-10, M3-09</t>
        </is>
      </c>
      <c r="D28" s="24" t="inlineStr">
        <is>
          <t>Enlace y QR por grupo, sala de espera con aprobación del líder, asignación manual con aviso y rol por defecto Miembro / Asistente. Pendiente: definir qué rol hace la asignación manual.</t>
        </is>
      </c>
      <c r="E28" s="24" t="inlineStr">
        <is>
          <t>Hecho (v3.18)</t>
        </is>
      </c>
    </row>
    <row r="29">
      <c r="A29" s="18" t="inlineStr">
        <is>
          <t>P1-10</t>
        </is>
      </c>
      <c r="B29" s="24" t="inlineStr">
        <is>
          <t>Pruebas 1: avisos masivos a la iglesia, grupos, ministerios (áreas de servicio) o personas; agrupar los recibidos.</t>
        </is>
      </c>
      <c r="C29" s="24" t="inlineStr">
        <is>
          <t>M1-09</t>
        </is>
      </c>
      <c r="D29" s="24" t="inlineStr">
        <is>
          <t>Los ministerios (áreas de servicio) se llaman así en toda la aplicación. Avisos masivos a iglesia, grupos, unidades y personas, con permisos por destino, y avisos recibidos agrupados.</t>
        </is>
      </c>
      <c r="E29" s="24" t="inlineStr">
        <is>
          <t>Hecho (v3.20)</t>
        </is>
      </c>
    </row>
    <row r="30">
      <c r="A30" s="18" t="inlineStr">
        <is>
          <t>P1-11</t>
        </is>
      </c>
      <c r="B30" s="24" t="inlineStr">
        <is>
          <t>Pruebas 1: Mi cuenta editable (datos básicos no sensibles; lo administrativo lo edita la secretaria).</t>
        </is>
      </c>
      <c r="C30" s="24" t="inlineStr">
        <is>
          <t>M1-27</t>
        </is>
      </c>
      <c r="D30" s="24" t="inlineStr">
        <is>
          <t>La persona edita nombre, domicilio, datos básicos y foto; no edita acceso (WhatsApp, correo, PIN) ni relaciones (grupo, sector, ministerios, roles).</t>
        </is>
      </c>
      <c r="E30" s="24" t="inlineStr">
        <is>
          <t>Hecho (v3.21)</t>
        </is>
      </c>
    </row>
    <row r="31">
      <c r="A31" s="18" t="inlineStr">
        <is>
          <t>P1-12</t>
        </is>
      </c>
      <c r="B31" s="24" t="inlineStr">
        <is>
          <t>Pruebas 1: el rol de Super Usuario es el único que asigna Administrador técnico.</t>
        </is>
      </c>
      <c r="C31" s="24" t="inlineStr">
        <is>
          <t>M1-07</t>
        </is>
      </c>
      <c r="D31" s="24" t="inlineStr">
        <is>
          <t>Confirmado por Edgar el 27-oct-2026; el sistema ya lo cumple (nadie otorga un rol más alto que el suyo) y hay prueba.</t>
        </is>
      </c>
      <c r="E31" s="24" t="inlineStr">
        <is>
          <t>Hecho (v3.15)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70" customWidth="1" min="1" max="1"/>
    <col width="32" customWidth="1" min="2" max="2"/>
    <col width="34" customWidth="1" min="3" max="3"/>
    <col width="18" customWidth="1" min="4" max="4"/>
  </cols>
  <sheetData>
    <row r="1">
      <c r="A1" s="23" t="inlineStr">
        <is>
          <t>Necesidad del levantamiento original (v1)</t>
        </is>
      </c>
      <c r="B1" s="23" t="inlineStr">
        <is>
          <t>Requerimientos actuales</t>
        </is>
      </c>
      <c r="C1" s="23" t="inlineStr">
        <is>
          <t>Situación</t>
        </is>
      </c>
      <c r="D1" s="23" t="inlineStr">
        <is>
          <t>Alcance</t>
        </is>
      </c>
    </row>
    <row r="2">
      <c r="A2" s="24" t="inlineStr">
        <is>
          <t>Roles con permisos distintos por módulo (Pastor, ancianos, líderes, servidores)</t>
        </is>
      </c>
      <c r="B2" s="24" t="inlineStr">
        <is>
          <t>M1-07, M1-08</t>
        </is>
      </c>
      <c r="C2" s="24" t="inlineStr">
        <is>
          <t>Cubierto</t>
        </is>
      </c>
      <c r="D2" s="24" t="inlineStr">
        <is>
          <t>MVP</t>
        </is>
      </c>
    </row>
    <row r="3">
      <c r="A3" s="24" t="inlineStr">
        <is>
          <t>Cursos de vida: listas de asistencia</t>
        </is>
      </c>
      <c r="B3" s="24" t="inlineStr">
        <is>
          <t>M2A-04</t>
        </is>
      </c>
      <c r="C3" s="24" t="inlineStr">
        <is>
          <t>Cubierto</t>
        </is>
      </c>
      <c r="D3" s="24" t="inlineStr">
        <is>
          <t>Fase 3</t>
        </is>
      </c>
    </row>
    <row r="4">
      <c r="A4" s="24" t="inlineStr">
        <is>
          <t>Cursos de vida: control de tareas o actividades (no requerido)</t>
        </is>
      </c>
      <c r="B4" s="24" t="inlineStr">
        <is>
          <t>M2A-05</t>
        </is>
      </c>
      <c r="C4" s="24" t="inlineStr">
        <is>
          <t>Cubierto</t>
        </is>
      </c>
      <c r="D4" s="24" t="inlineStr">
        <is>
          <t>Fase 3</t>
        </is>
      </c>
    </row>
    <row r="5">
      <c r="A5" s="24" t="inlineStr">
        <is>
          <t>Cursos de vida: evolución del ponente</t>
        </is>
      </c>
      <c r="B5" s="24" t="inlineStr">
        <is>
          <t>M2A-10</t>
        </is>
      </c>
      <c r="C5" s="25" t="inlineStr">
        <is>
          <t>Recuperado en v3</t>
        </is>
      </c>
      <c r="D5" s="24" t="inlineStr">
        <is>
          <t>Fase 3</t>
        </is>
      </c>
    </row>
    <row r="6">
      <c r="A6" s="24" t="inlineStr">
        <is>
          <t>Cursos de vida: anuncios y tablero tipo WhatsApp antes y después del curso</t>
        </is>
      </c>
      <c r="B6" s="24" t="inlineStr">
        <is>
          <t>M2A-08</t>
        </is>
      </c>
      <c r="C6" s="25" t="inlineStr">
        <is>
          <t>Recuperado en v3</t>
        </is>
      </c>
      <c r="D6" s="24" t="inlineStr">
        <is>
          <t>Fase 3</t>
        </is>
      </c>
    </row>
    <row r="7">
      <c r="A7" s="24" t="inlineStr">
        <is>
          <t>Cursos de vida: inscripción, adeudo y qué incluye el costo</t>
        </is>
      </c>
      <c r="B7" s="24" t="inlineStr">
        <is>
          <t>M2A-06, M2A-07</t>
        </is>
      </c>
      <c r="C7" s="24" t="inlineStr">
        <is>
          <t>Cubierto</t>
        </is>
      </c>
      <c r="D7" s="24" t="inlineStr">
        <is>
          <t>Fase 3</t>
        </is>
      </c>
    </row>
    <row r="8">
      <c r="A8" s="24" t="inlineStr">
        <is>
          <t>Cursos de vida: cambio de día, ponente y reposición de clases</t>
        </is>
      </c>
      <c r="B8" s="24" t="inlineStr">
        <is>
          <t>M2A-02, M2A-03</t>
        </is>
      </c>
      <c r="C8" s="24" t="inlineStr">
        <is>
          <t>Cubierto</t>
        </is>
      </c>
      <c r="D8" s="24" t="inlineStr">
        <is>
          <t>Fase 3</t>
        </is>
      </c>
    </row>
    <row r="9">
      <c r="A9" s="24" t="inlineStr">
        <is>
          <t>Cursos de vida: evaluación de ponentes diseñable (tipo Google Forms)</t>
        </is>
      </c>
      <c r="B9" s="24" t="inlineStr">
        <is>
          <t>M2A-09, CFG-01</t>
        </is>
      </c>
      <c r="C9" s="24" t="inlineStr">
        <is>
          <t>Cubierto</t>
        </is>
      </c>
      <c r="D9" s="24" t="inlineStr">
        <is>
          <t>Fase 3</t>
        </is>
      </c>
    </row>
    <row r="10">
      <c r="A10" s="24" t="inlineStr">
        <is>
          <t>Cursos de vida: reconocimiento opcional</t>
        </is>
      </c>
      <c r="B10" s="24" t="inlineStr">
        <is>
          <t>M2A-11</t>
        </is>
      </c>
      <c r="C10" s="24" t="inlineStr">
        <is>
          <t>Cubierto</t>
        </is>
      </c>
      <c r="D10" s="24" t="inlineStr">
        <is>
          <t>Fase 3</t>
        </is>
      </c>
    </row>
    <row r="11">
      <c r="A11" s="24" t="inlineStr">
        <is>
          <t>Cursos «Resolución de varones» y «Toma de buenas decisiones»</t>
        </is>
      </c>
      <c r="B11" s="24" t="inlineStr">
        <is>
          <t>M2A-01</t>
        </is>
      </c>
      <c r="C11" s="25" t="inlineStr">
        <is>
          <t>Recuperado en v3</t>
        </is>
      </c>
      <c r="D11" s="24" t="inlineStr">
        <is>
          <t>Fase 3</t>
        </is>
      </c>
    </row>
    <row r="12">
      <c r="A12" s="24" t="inlineStr">
        <is>
          <t>Cursos escolarizados: asistencia, tareas, calificación, exámenes y boleta con formato</t>
        </is>
      </c>
      <c r="B12" s="24" t="inlineStr">
        <is>
          <t>M2B-01 a M2B-06</t>
        </is>
      </c>
      <c r="C12" s="24" t="inlineStr">
        <is>
          <t>Cubierto</t>
        </is>
      </c>
      <c r="D12" s="24" t="inlineStr">
        <is>
          <t>Fase 3</t>
        </is>
      </c>
    </row>
    <row r="13">
      <c r="A13" s="24" t="inlineStr">
        <is>
          <t>Control de personal por área (número de áreas y servidores)</t>
        </is>
      </c>
      <c r="B13" s="24" t="inlineStr">
        <is>
          <t>M5-01, M5-03</t>
        </is>
      </c>
      <c r="C13" s="24" t="inlineStr">
        <is>
          <t>Cubierto (mínimo en MVP)</t>
        </is>
      </c>
      <c r="D13" s="24" t="inlineStr">
        <is>
          <t>MVP mínimo</t>
        </is>
      </c>
    </row>
    <row r="14">
      <c r="A14" s="24" t="inlineStr">
        <is>
          <t>Roles jerárquicos dentro de cada área</t>
        </is>
      </c>
      <c r="B14" s="24" t="inlineStr">
        <is>
          <t>M5-02</t>
        </is>
      </c>
      <c r="C14" s="25" t="inlineStr">
        <is>
          <t>Recuperado en v3</t>
        </is>
      </c>
      <c r="D14" s="24" t="inlineStr">
        <is>
          <t>Fase 4</t>
        </is>
      </c>
    </row>
    <row r="15">
      <c r="A15" s="24" t="inlineStr">
        <is>
          <t>Control de personal, financiero, asistencia y tablero por área</t>
        </is>
      </c>
      <c r="B15" s="24" t="inlineStr">
        <is>
          <t>M5-04, M5-05, M5-06</t>
        </is>
      </c>
      <c r="C15" s="24" t="inlineStr">
        <is>
          <t>Cubierto</t>
        </is>
      </c>
      <c r="D15" s="24" t="inlineStr">
        <is>
          <t>Fase 4</t>
        </is>
      </c>
    </row>
    <row r="16">
      <c r="A16" s="24" t="inlineStr">
        <is>
          <t>Expediente digital con foto y datos configurables</t>
        </is>
      </c>
      <c r="B16" s="24" t="inlineStr">
        <is>
          <t>M1-01, M1-02</t>
        </is>
      </c>
      <c r="C16" s="24" t="inlineStr">
        <is>
          <t>Cubierto</t>
        </is>
      </c>
      <c r="D16" s="24" t="inlineStr">
        <is>
          <t>MVP</t>
        </is>
      </c>
    </row>
    <row r="17">
      <c r="A17" s="24" t="inlineStr">
        <is>
          <t>Control de asistentes: consolidación y eventos evangelísticos</t>
        </is>
      </c>
      <c r="B17" s="24" t="inlineStr">
        <is>
          <t>M7-01, M7-02, M7-05</t>
        </is>
      </c>
      <c r="C17" s="25" t="inlineStr">
        <is>
          <t>Recuperado en v3</t>
        </is>
      </c>
      <c r="D17" s="24" t="inlineStr">
        <is>
          <t>Fase 4</t>
        </is>
      </c>
    </row>
    <row r="18">
      <c r="A18" s="24" t="inlineStr">
        <is>
          <t>Encargados de evento (solo personal de la iglesia)</t>
        </is>
      </c>
      <c r="B18" s="24" t="inlineStr">
        <is>
          <t>M7-03</t>
        </is>
      </c>
      <c r="C18" s="25" t="inlineStr">
        <is>
          <t>Recuperado en v3</t>
        </is>
      </c>
      <c r="D18" s="24" t="inlineStr">
        <is>
          <t>Fase 4</t>
        </is>
      </c>
    </row>
    <row r="19">
      <c r="A19" s="24" t="inlineStr">
        <is>
          <t>Cafetería, librería, fundación y servicio médico: personal, calendario, gastos, menú y comunicación</t>
        </is>
      </c>
      <c r="B19" s="24" t="inlineStr">
        <is>
          <t>M6-01 a M6-07</t>
        </is>
      </c>
      <c r="C19" s="24" t="inlineStr">
        <is>
          <t>Cubierto</t>
        </is>
      </c>
      <c r="D19" s="24" t="inlineStr">
        <is>
          <t>Fase 4</t>
        </is>
      </c>
    </row>
    <row r="20">
      <c r="A20" s="24" t="inlineStr">
        <is>
          <t>Control para recoger niños (ficha física con riesgo de pérdida)</t>
        </is>
      </c>
      <c r="B20" s="24" t="inlineStr">
        <is>
          <t>M4-01 a M4-08</t>
        </is>
      </c>
      <c r="C20" s="24" t="inlineStr">
        <is>
          <t>Cubierto</t>
        </is>
      </c>
      <c r="D20" s="24" t="inlineStr">
        <is>
          <t>Fase 2</t>
        </is>
      </c>
    </row>
    <row r="21">
      <c r="A21" s="24" t="inlineStr">
        <is>
          <t>Avisos para la iglesia en general, también para quien no asiste el día de avisos</t>
        </is>
      </c>
      <c r="B21" s="24" t="inlineStr">
        <is>
          <t>M1-09, M1-10</t>
        </is>
      </c>
      <c r="C21" s="24" t="inlineStr">
        <is>
          <t>Cubierto</t>
        </is>
      </c>
      <c r="D21" s="24" t="inlineStr">
        <is>
          <t>MVP</t>
        </is>
      </c>
    </row>
    <row r="22">
      <c r="A22" s="24" t="inlineStr">
        <is>
          <t>Grupos de conexión: estructura Supervisor, Líder, Secretario, Anfitrión</t>
        </is>
      </c>
      <c r="B22" s="24" t="inlineStr">
        <is>
          <t>M3-01</t>
        </is>
      </c>
      <c r="C22" s="24" t="inlineStr">
        <is>
          <t>Cubierto (Tesorero añadido)</t>
        </is>
      </c>
      <c r="D22" s="24" t="inlineStr">
        <is>
          <t>MVP</t>
        </is>
      </c>
    </row>
    <row r="23">
      <c r="A23" s="24" t="inlineStr">
        <is>
          <t>Grupos de conexión: estudio por WhatsApp</t>
        </is>
      </c>
      <c r="B23" s="24" t="inlineStr">
        <is>
          <t>M3-02</t>
        </is>
      </c>
      <c r="C23" s="24" t="inlineStr">
        <is>
          <t>Cubierto</t>
        </is>
      </c>
      <c r="D23" s="24" t="inlineStr">
        <is>
          <t>MVP</t>
        </is>
      </c>
    </row>
    <row r="24">
      <c r="A24" s="24" t="inlineStr">
        <is>
          <t>Grupos de conexión: lista de asistencia</t>
        </is>
      </c>
      <c r="B24" s="24" t="inlineStr">
        <is>
          <t>M3-03</t>
        </is>
      </c>
      <c r="C24" s="24" t="inlineStr">
        <is>
          <t>Cubierto</t>
        </is>
      </c>
      <c r="D24" s="24" t="inlineStr">
        <is>
          <t>MVP</t>
        </is>
      </c>
    </row>
    <row r="25">
      <c r="A25" s="24" t="inlineStr">
        <is>
          <t>Grupos de conexión: ofrendas regulares y especiales</t>
        </is>
      </c>
      <c r="B25" s="24" t="inlineStr">
        <is>
          <t>M3-04</t>
        </is>
      </c>
      <c r="C25" s="24" t="inlineStr">
        <is>
          <t>Cubierto</t>
        </is>
      </c>
      <c r="D25" s="24" t="inlineStr">
        <is>
          <t>MVP</t>
        </is>
      </c>
    </row>
    <row r="26">
      <c r="A26" s="24" t="inlineStr">
        <is>
          <t>Grupos de conexión: peticiones de oración con formulario cambiante</t>
        </is>
      </c>
      <c r="B26" s="24" t="inlineStr">
        <is>
          <t>M3-05, CFG-01</t>
        </is>
      </c>
      <c r="C26" s="24" t="inlineStr">
        <is>
          <t>Cubierto</t>
        </is>
      </c>
      <c r="D26" s="24" t="inlineStr">
        <is>
          <t>MVP</t>
        </is>
      </c>
    </row>
    <row r="27">
      <c r="A27" s="24" t="inlineStr">
        <is>
          <t>Grupos de conexión: el supervisor reporta al Pastor</t>
        </is>
      </c>
      <c r="B27" s="24" t="inlineStr">
        <is>
          <t>M3-01, M3-07</t>
        </is>
      </c>
      <c r="C27" s="24" t="inlineStr">
        <is>
          <t>Cubierto</t>
        </is>
      </c>
      <c r="D27" s="24" t="inlineStr">
        <is>
          <t>MVP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2026-10-29T18:51:21Z</dcterms:created>
  <dcterms:modified xmlns:dcterms="http://purl.org/dc/terms/" xmlns:xsi="http://www.w3.org/2001/XMLSchema-instance" xsi:type="dcterms:W3CDTF">2026-10-29T18:51:21Z</dcterms:modified>
</cp:coreProperties>
</file>